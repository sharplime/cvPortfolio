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sha\OneDrive\Documents\"/>
    </mc:Choice>
  </mc:AlternateContent>
  <xr:revisionPtr revIDLastSave="0" documentId="8_{72C2F220-0B04-4968-B26C-A3B89569D648}" xr6:coauthVersionLast="47" xr6:coauthVersionMax="47" xr10:uidLastSave="{00000000-0000-0000-0000-000000000000}"/>
  <bookViews>
    <workbookView xWindow="-110" yWindow="-110" windowWidth="22780" windowHeight="15260" xr2:uid="{7D86A3B5-1F36-41ED-AF39-662AB159E011}"/>
  </bookViews>
  <sheets>
    <sheet name="Start" sheetId="4" r:id="rId1"/>
    <sheet name="Adjust" sheetId="96" r:id="rId2"/>
    <sheet name="Error" sheetId="95" r:id="rId3"/>
    <sheet name="Ex. Basic Forecast" sheetId="98" r:id="rId4"/>
    <sheet name="Ex. Time_Series" sheetId="99" r:id="rId5"/>
    <sheet name="Ex. Forecast 1" sheetId="100" r:id="rId6"/>
  </sheets>
  <externalReferences>
    <externalReference r:id="rId7"/>
  </externalReferences>
  <definedNames>
    <definedName name="CIQWBGuid" hidden="1">"1d675399-720c-4fe8-b4fd-a207308405cb"</definedName>
    <definedName name="CIQWBInfo" hidden="1">"{ ""CIQVersion"":""9.50.2716.4594"" }"</definedName>
    <definedName name="diff_average" localSheetId="1">'[1]basic holt-winters'!$F$19</definedName>
    <definedName name="diff_average" localSheetId="2">'[1]basic holt-winters'!$F$19</definedName>
    <definedName name="diff_average">#REF!</definedName>
    <definedName name="ma_average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96" l="1"/>
  <c r="J3" i="96"/>
  <c r="J2" i="96"/>
  <c r="G6" i="96"/>
  <c r="C4" i="96"/>
  <c r="E19" i="96"/>
  <c r="E20" i="96"/>
  <c r="E21" i="96"/>
  <c r="E18" i="96"/>
  <c r="C3" i="96"/>
  <c r="D6" i="96"/>
  <c r="D5" i="96"/>
  <c r="G5" i="96"/>
  <c r="D4" i="96"/>
  <c r="G4" i="96"/>
  <c r="H2" i="96"/>
  <c r="D3" i="96" l="1"/>
  <c r="G3" i="96" s="1"/>
  <c r="D29" i="98"/>
  <c r="D28" i="98"/>
  <c r="D27" i="98"/>
  <c r="D26" i="98"/>
  <c r="D25" i="98"/>
  <c r="D24" i="98"/>
  <c r="D23" i="98"/>
  <c r="D22" i="98"/>
  <c r="G29" i="98"/>
  <c r="G28" i="98"/>
  <c r="G27" i="98"/>
  <c r="G26" i="98"/>
  <c r="G25" i="98"/>
  <c r="G24" i="98"/>
  <c r="G23" i="98"/>
  <c r="G22" i="98"/>
  <c r="K3" i="98"/>
  <c r="K4" i="98"/>
  <c r="K5" i="98"/>
  <c r="K2" i="98"/>
  <c r="H17" i="98"/>
  <c r="H16" i="98"/>
  <c r="H15" i="98"/>
  <c r="H14" i="98"/>
  <c r="H13" i="98"/>
  <c r="H12" i="98"/>
  <c r="H11" i="98"/>
  <c r="H10" i="98"/>
  <c r="H9" i="98"/>
  <c r="H8" i="98"/>
  <c r="H7" i="98"/>
  <c r="H6" i="98"/>
  <c r="H5" i="98"/>
  <c r="H4" i="98"/>
  <c r="H3" i="98"/>
  <c r="H2" i="98"/>
  <c r="G17" i="98"/>
  <c r="G16" i="98"/>
  <c r="G15" i="98"/>
  <c r="G14" i="98"/>
  <c r="G13" i="98"/>
  <c r="G12" i="98"/>
  <c r="G11" i="98"/>
  <c r="G2" i="98"/>
  <c r="G3" i="98"/>
  <c r="G4" i="98"/>
  <c r="G5" i="98"/>
  <c r="G6" i="98"/>
  <c r="G7" i="98"/>
  <c r="G8" i="98"/>
  <c r="G9" i="98"/>
  <c r="F16" i="98"/>
  <c r="F15" i="98"/>
  <c r="F14" i="98"/>
  <c r="F13" i="98"/>
  <c r="F12" i="98"/>
  <c r="F11" i="98"/>
  <c r="F10" i="98"/>
  <c r="F9" i="98"/>
  <c r="F8" i="98"/>
  <c r="F7" i="98"/>
  <c r="F6" i="98"/>
  <c r="F5" i="98"/>
  <c r="E16" i="98"/>
  <c r="E15" i="98"/>
  <c r="E14" i="98"/>
  <c r="E13" i="98"/>
  <c r="E12" i="98"/>
  <c r="E11" i="98"/>
  <c r="E10" i="98"/>
  <c r="E9" i="98"/>
  <c r="E8" i="98"/>
  <c r="E7" i="98"/>
  <c r="E6" i="98"/>
  <c r="E5" i="98"/>
  <c r="E4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D4" i="98"/>
  <c r="D3" i="98"/>
  <c r="D2" i="98"/>
  <c r="K7" i="95"/>
  <c r="K5" i="95"/>
  <c r="M5" i="95" s="1"/>
  <c r="O5" i="95" s="1"/>
  <c r="G5" i="95"/>
  <c r="D5" i="95"/>
  <c r="F5" i="95" s="1"/>
  <c r="O4" i="95"/>
  <c r="N4" i="95"/>
  <c r="M4" i="95"/>
  <c r="L4" i="95"/>
  <c r="K4" i="95"/>
  <c r="H4" i="95"/>
  <c r="G4" i="95"/>
  <c r="F4" i="95"/>
  <c r="E4" i="95"/>
  <c r="D4" i="95"/>
  <c r="M3" i="95"/>
  <c r="O3" i="95" s="1"/>
  <c r="K3" i="95"/>
  <c r="N3" i="95" s="1"/>
  <c r="H3" i="95"/>
  <c r="F3" i="95"/>
  <c r="E3" i="95"/>
  <c r="D3" i="95"/>
  <c r="G3" i="95" s="1"/>
  <c r="K2" i="95"/>
  <c r="N2" i="95" s="1"/>
  <c r="N7" i="95" s="1"/>
  <c r="F2" i="95"/>
  <c r="H2" i="95" s="1"/>
  <c r="H7" i="95" s="1"/>
  <c r="D2" i="95"/>
  <c r="E2" i="95" s="1"/>
  <c r="F3" i="96" l="1"/>
  <c r="E3" i="96"/>
  <c r="H3" i="96" s="1"/>
  <c r="H5" i="95"/>
  <c r="F7" i="95"/>
  <c r="N5" i="95"/>
  <c r="G2" i="95"/>
  <c r="G7" i="95" s="1"/>
  <c r="L3" i="95"/>
  <c r="D7" i="95"/>
  <c r="L2" i="95"/>
  <c r="L7" i="95" s="1"/>
  <c r="M2" i="95"/>
  <c r="E5" i="95"/>
  <c r="E7" i="95" s="1"/>
  <c r="L5" i="95"/>
  <c r="K3" i="96" l="1"/>
  <c r="L3" i="96" s="1"/>
  <c r="I3" i="96"/>
  <c r="M7" i="95"/>
  <c r="O2" i="95"/>
  <c r="O7" i="95" s="1"/>
  <c r="E4" i="96" l="1"/>
  <c r="H4" i="96" s="1"/>
  <c r="I4" i="96" l="1"/>
  <c r="K4" i="96"/>
  <c r="L4" i="96" s="1"/>
  <c r="F4" i="96"/>
  <c r="F5" i="96" l="1"/>
  <c r="E5" i="96" l="1"/>
  <c r="H5" i="96" s="1"/>
  <c r="K5" i="96" l="1"/>
  <c r="L5" i="96" s="1"/>
  <c r="I5" i="96"/>
  <c r="J5" i="96" s="1"/>
  <c r="E6" i="96" l="1"/>
  <c r="H6" i="96" s="1"/>
  <c r="I6" i="96" l="1"/>
  <c r="J6" i="96" s="1"/>
  <c r="K6" i="96"/>
  <c r="L6" i="96" s="1"/>
  <c r="F6" i="96"/>
  <c r="D19" i="96" l="1"/>
  <c r="D20" i="96" l="1"/>
  <c r="D18" i="96"/>
  <c r="D21" i="96"/>
</calcChain>
</file>

<file path=xl/sharedStrings.xml><?xml version="1.0" encoding="utf-8"?>
<sst xmlns="http://schemas.openxmlformats.org/spreadsheetml/2006/main" count="65" uniqueCount="43">
  <si>
    <t>Year</t>
  </si>
  <si>
    <t>Quarter</t>
  </si>
  <si>
    <t>Time Step</t>
  </si>
  <si>
    <t>Observation</t>
  </si>
  <si>
    <t>Deseasonalised MA(4)</t>
  </si>
  <si>
    <t>Differences</t>
  </si>
  <si>
    <t>Deseasonalised Trend</t>
  </si>
  <si>
    <t>Season Index (est.)</t>
  </si>
  <si>
    <t>Seasonal Index</t>
  </si>
  <si>
    <t>Averages</t>
  </si>
  <si>
    <t>Observations</t>
  </si>
  <si>
    <t>Forecast</t>
  </si>
  <si>
    <t>Basic Forecast</t>
  </si>
  <si>
    <t>Error</t>
  </si>
  <si>
    <t>Squared Error</t>
  </si>
  <si>
    <t>Absolute Error</t>
  </si>
  <si>
    <t>Percentage Error</t>
  </si>
  <si>
    <t>Absolute Percentage Error</t>
  </si>
  <si>
    <t>Adjusted Forecast</t>
  </si>
  <si>
    <t>Mean</t>
  </si>
  <si>
    <t>ME</t>
  </si>
  <si>
    <t>MSE</t>
  </si>
  <si>
    <t>MAE</t>
  </si>
  <si>
    <t>MPE</t>
  </si>
  <si>
    <t>MAPE</t>
  </si>
  <si>
    <t>Period</t>
  </si>
  <si>
    <t>Observation (example)</t>
  </si>
  <si>
    <t>Initialising Seasonal Index</t>
  </si>
  <si>
    <t>Deseasoned forecast</t>
  </si>
  <si>
    <t>Observed Level</t>
  </si>
  <si>
    <t>Smoothed Level</t>
  </si>
  <si>
    <t>Observed Trend</t>
  </si>
  <si>
    <t>Smoothed trend</t>
  </si>
  <si>
    <t>Observed seasonal index</t>
  </si>
  <si>
    <t xml:space="preserve">Smoothed seasonal index
</t>
  </si>
  <si>
    <t>Smoothing Parameter</t>
  </si>
  <si>
    <t>Value</t>
  </si>
  <si>
    <t>α</t>
  </si>
  <si>
    <t>2019 Forecast</t>
  </si>
  <si>
    <t>β</t>
  </si>
  <si>
    <t>Column1</t>
  </si>
  <si>
    <t>γ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</si>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</sst>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indexed="18"/>
      <name val="Arial"/>
      <family val="2"/>
    </font>
    <font>
      <sz val="18"/>
      <color indexed="18"/>
      <name val="Calibri"/>
      <family val="2"/>
    </font>
    <font>
      <b/>
      <sz val="11"/>
      <color rgb="FFFF0000"/>
      <name val="Calibri"/>
      <family val="2"/>
      <scheme val="minor"/>
    </font>
    <font>
      <sz val="10"/>
      <color rgb="FF7030A0"/>
      <name val="Arial"/>
      <family val="2"/>
    </font>
    <font>
      <b/>
      <sz val="10"/>
      <color rgb="FF7030A0"/>
      <name val="Arial"/>
      <family val="2"/>
    </font>
    <font>
      <sz val="18"/>
      <name val="Calibri"/>
      <family val="2"/>
    </font>
    <font>
      <sz val="18"/>
      <color theme="1"/>
      <name val="Calibri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44">
    <xf numFmtId="0" fontId="0" fillId="0" borderId="0" xfId="0"/>
    <xf numFmtId="0" fontId="5" fillId="0" borderId="0" xfId="0" applyFont="1"/>
    <xf numFmtId="0" fontId="0" fillId="6" borderId="0" xfId="0" applyFill="1"/>
    <xf numFmtId="0" fontId="4" fillId="7" borderId="0" xfId="0" applyFont="1" applyFill="1" applyBorder="1"/>
    <xf numFmtId="0" fontId="4" fillId="6" borderId="0" xfId="0" applyFont="1" applyFill="1" applyBorder="1"/>
    <xf numFmtId="0" fontId="0" fillId="8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3" fillId="4" borderId="0" xfId="3"/>
    <xf numFmtId="0" fontId="7" fillId="0" borderId="0" xfId="0" applyFont="1"/>
    <xf numFmtId="1" fontId="2" fillId="3" borderId="0" xfId="2" applyNumberFormat="1" applyAlignment="1">
      <alignment horizontal="center"/>
    </xf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" fontId="1" fillId="2" borderId="0" xfId="1" applyNumberFormat="1" applyAlignment="1">
      <alignment horizontal="center"/>
    </xf>
    <xf numFmtId="1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1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1" fontId="0" fillId="0" borderId="0" xfId="0" applyNumberFormat="1"/>
    <xf numFmtId="2" fontId="11" fillId="0" borderId="0" xfId="0" applyNumberFormat="1" applyFont="1"/>
    <xf numFmtId="1" fontId="6" fillId="0" borderId="0" xfId="0" applyNumberFormat="1" applyFont="1"/>
    <xf numFmtId="164" fontId="0" fillId="0" borderId="0" xfId="0" applyNumberFormat="1"/>
    <xf numFmtId="2" fontId="0" fillId="0" borderId="0" xfId="0" applyNumberFormat="1"/>
    <xf numFmtId="0" fontId="12" fillId="0" borderId="0" xfId="0" applyFont="1"/>
    <xf numFmtId="0" fontId="5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0" xfId="0" applyFont="1"/>
    <xf numFmtId="0" fontId="16" fillId="0" borderId="0" xfId="0" applyFont="1"/>
    <xf numFmtId="1" fontId="17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" fontId="18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" fontId="1" fillId="2" borderId="0" xfId="1" applyNumberFormat="1"/>
    <xf numFmtId="0" fontId="19" fillId="0" borderId="0" xfId="0" applyFont="1"/>
    <xf numFmtId="1" fontId="18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1" fontId="15" fillId="0" borderId="0" xfId="0" applyNumberFormat="1" applyFont="1"/>
    <xf numFmtId="0" fontId="4" fillId="0" borderId="0" xfId="0" applyFont="1"/>
    <xf numFmtId="0" fontId="11" fillId="5" borderId="0" xfId="0" applyFont="1" applyFill="1" applyAlignment="1">
      <alignment horizontal="center" vertical="center" wrapText="1"/>
    </xf>
    <xf numFmtId="1" fontId="11" fillId="5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horizontal="right" wrapText="1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17">
    <dxf>
      <numFmt numFmtId="1" formatCode="0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164" formatCode="0.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'Ex. Basic Forecast'!$D$1</c:f>
              <c:strCache>
                <c:ptCount val="1"/>
                <c:pt idx="0">
                  <c:v>Observation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'Ex. Basic Forecast'!$A$2:$A$19</c:f>
              <c:strCach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7">
                  <c:v>Averages</c:v>
                </c:pt>
              </c:strCache>
            </c:strRef>
          </c:xVal>
          <c:yVal>
            <c:numRef>
              <c:f>'Ex. Basic Forecast'!$D$2:$D$19</c:f>
              <c:numCache>
                <c:formatCode>General</c:formatCode>
                <c:ptCount val="18"/>
                <c:pt idx="0">
                  <c:v>8</c:v>
                </c:pt>
                <c:pt idx="1">
                  <c:v>10</c:v>
                </c:pt>
                <c:pt idx="2">
                  <c:v>7</c:v>
                </c:pt>
                <c:pt idx="3">
                  <c:v>15</c:v>
                </c:pt>
                <c:pt idx="4">
                  <c:v>15</c:v>
                </c:pt>
                <c:pt idx="5">
                  <c:v>17</c:v>
                </c:pt>
                <c:pt idx="6">
                  <c:v>14</c:v>
                </c:pt>
                <c:pt idx="7">
                  <c:v>28</c:v>
                </c:pt>
                <c:pt idx="8">
                  <c:v>25</c:v>
                </c:pt>
                <c:pt idx="9">
                  <c:v>26</c:v>
                </c:pt>
                <c:pt idx="10">
                  <c:v>21</c:v>
                </c:pt>
                <c:pt idx="11">
                  <c:v>40</c:v>
                </c:pt>
                <c:pt idx="12">
                  <c:v>31</c:v>
                </c:pt>
                <c:pt idx="13">
                  <c:v>34</c:v>
                </c:pt>
                <c:pt idx="14">
                  <c:v>28</c:v>
                </c:pt>
                <c:pt idx="15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41-46B8-94EC-CF4C3937E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78127"/>
        <c:axId val="905271711"/>
      </c:scatterChart>
      <c:valAx>
        <c:axId val="42687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271711"/>
        <c:crosses val="autoZero"/>
        <c:crossBetween val="midCat"/>
      </c:valAx>
      <c:valAx>
        <c:axId val="90527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8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'Ex. Basic Forecast'!$D$1</c:f>
              <c:strCache>
                <c:ptCount val="1"/>
                <c:pt idx="0">
                  <c:v>Observation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'Ex. Basic Forecast'!$A$2:$A$19</c:f>
              <c:strCach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7">
                  <c:v>Averages</c:v>
                </c:pt>
              </c:strCache>
            </c:strRef>
          </c:xVal>
          <c:yVal>
            <c:numRef>
              <c:f>'Ex. Basic Forecast'!$D$2:$D$19</c:f>
              <c:numCache>
                <c:formatCode>General</c:formatCode>
                <c:ptCount val="18"/>
                <c:pt idx="0">
                  <c:v>8</c:v>
                </c:pt>
                <c:pt idx="1">
                  <c:v>10</c:v>
                </c:pt>
                <c:pt idx="2">
                  <c:v>7</c:v>
                </c:pt>
                <c:pt idx="3">
                  <c:v>15</c:v>
                </c:pt>
                <c:pt idx="4">
                  <c:v>15</c:v>
                </c:pt>
                <c:pt idx="5">
                  <c:v>17</c:v>
                </c:pt>
                <c:pt idx="6">
                  <c:v>14</c:v>
                </c:pt>
                <c:pt idx="7">
                  <c:v>28</c:v>
                </c:pt>
                <c:pt idx="8">
                  <c:v>25</c:v>
                </c:pt>
                <c:pt idx="9">
                  <c:v>26</c:v>
                </c:pt>
                <c:pt idx="10">
                  <c:v>21</c:v>
                </c:pt>
                <c:pt idx="11">
                  <c:v>40</c:v>
                </c:pt>
                <c:pt idx="12">
                  <c:v>31</c:v>
                </c:pt>
                <c:pt idx="13">
                  <c:v>34</c:v>
                </c:pt>
                <c:pt idx="14">
                  <c:v>28</c:v>
                </c:pt>
                <c:pt idx="15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A1-454C-A8B9-C485502196E6}"/>
            </c:ext>
          </c:extLst>
        </c:ser>
        <c:ser>
          <c:idx val="1"/>
          <c:order val="1"/>
          <c:tx>
            <c:v>Forecast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'Ex. Basic Forecast'!$A$22:$A$29</c:f>
              <c:numCache>
                <c:formatCode>General</c:formatCode>
                <c:ptCount val="8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</c:numCache>
            </c:numRef>
          </c:xVal>
          <c:yVal>
            <c:numRef>
              <c:f>'Ex. Basic Forecast'!$D$22:$D$29</c:f>
              <c:numCache>
                <c:formatCode>General</c:formatCode>
                <c:ptCount val="8"/>
                <c:pt idx="0">
                  <c:v>43.94082958748929</c:v>
                </c:pt>
                <c:pt idx="1">
                  <c:v>44.945607238493274</c:v>
                </c:pt>
                <c:pt idx="2">
                  <c:v>32.833243898452857</c:v>
                </c:pt>
                <c:pt idx="3">
                  <c:v>62.574309221086281</c:v>
                </c:pt>
                <c:pt idx="4">
                  <c:v>53.237406258182681</c:v>
                </c:pt>
                <c:pt idx="5">
                  <c:v>53.977067753628624</c:v>
                </c:pt>
                <c:pt idx="6">
                  <c:v>39.115242467232946</c:v>
                </c:pt>
                <c:pt idx="7">
                  <c:v>74.000150728852162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A1-454C-A8B9-C48550219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78127"/>
        <c:axId val="905271711"/>
      </c:scatterChart>
      <c:valAx>
        <c:axId val="42687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271711"/>
        <c:crosses val="autoZero"/>
        <c:crossBetween val="midCat"/>
      </c:valAx>
      <c:valAx>
        <c:axId val="90527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8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10</xdr:row>
          <xdr:rowOff>101600</xdr:rowOff>
        </xdr:from>
        <xdr:to>
          <xdr:col>14</xdr:col>
          <xdr:colOff>203200</xdr:colOff>
          <xdr:row>15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Produce Forecast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323850</xdr:colOff>
      <xdr:row>1</xdr:row>
      <xdr:rowOff>95250</xdr:rowOff>
    </xdr:from>
    <xdr:to>
      <xdr:col>4</xdr:col>
      <xdr:colOff>514350</xdr:colOff>
      <xdr:row>5</xdr:row>
      <xdr:rowOff>6350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989AEE0-1A5F-2ECF-AB01-1E3148CCD597}"/>
            </a:ext>
          </a:extLst>
        </xdr:cNvPr>
        <xdr:cNvSpPr txBox="1"/>
      </xdr:nvSpPr>
      <xdr:spPr>
        <a:xfrm>
          <a:off x="1758950" y="279400"/>
          <a:ext cx="1409700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Step 1: Enter/Paste</a:t>
          </a:r>
          <a:r>
            <a:rPr lang="en-GB" sz="1100" baseline="0"/>
            <a:t> your Historical observed data here</a:t>
          </a:r>
          <a:endParaRPr lang="en-GB" sz="1100"/>
        </a:p>
      </xdr:txBody>
    </xdr:sp>
    <xdr:clientData/>
  </xdr:twoCellAnchor>
  <xdr:twoCellAnchor>
    <xdr:from>
      <xdr:col>0</xdr:col>
      <xdr:colOff>806450</xdr:colOff>
      <xdr:row>3</xdr:row>
      <xdr:rowOff>50800</xdr:rowOff>
    </xdr:from>
    <xdr:to>
      <xdr:col>2</xdr:col>
      <xdr:colOff>323850</xdr:colOff>
      <xdr:row>4</xdr:row>
      <xdr:rowOff>146050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EBDB22E-06D7-5DD7-1C40-F8706AE9B03B}"/>
            </a:ext>
          </a:extLst>
        </xdr:cNvPr>
        <xdr:cNvCxnSpPr>
          <a:stCxn id="2" idx="1"/>
        </xdr:cNvCxnSpPr>
      </xdr:nvCxnSpPr>
      <xdr:spPr>
        <a:xfrm flipH="1">
          <a:off x="806450" y="603250"/>
          <a:ext cx="952500" cy="279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241300</xdr:colOff>
      <xdr:row>10</xdr:row>
      <xdr:rowOff>171450</xdr:rowOff>
    </xdr:from>
    <xdr:to>
      <xdr:col>4</xdr:col>
      <xdr:colOff>603250</xdr:colOff>
      <xdr:row>12</xdr:row>
      <xdr:rowOff>120650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FE98257-92A6-48C1-A05D-76232E864736}"/>
            </a:ext>
          </a:extLst>
        </xdr:cNvPr>
        <xdr:cNvSpPr txBox="1"/>
      </xdr:nvSpPr>
      <xdr:spPr>
        <a:xfrm>
          <a:off x="1676400" y="2012950"/>
          <a:ext cx="1581150" cy="31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Step 2: Click the Button</a:t>
          </a:r>
        </a:p>
      </xdr:txBody>
    </xdr:sp>
    <xdr:clientData/>
  </xdr:twoCellAnchor>
  <xdr:twoCellAnchor>
    <xdr:from>
      <xdr:col>4</xdr:col>
      <xdr:colOff>603250</xdr:colOff>
      <xdr:row>11</xdr:row>
      <xdr:rowOff>146050</xdr:rowOff>
    </xdr:from>
    <xdr:to>
      <xdr:col>7</xdr:col>
      <xdr:colOff>120650</xdr:colOff>
      <xdr:row>13</xdr:row>
      <xdr:rowOff>25400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ADAEE5CB-014A-4CE3-B1CA-107D25502DE3}"/>
            </a:ext>
          </a:extLst>
        </xdr:cNvPr>
        <xdr:cNvCxnSpPr>
          <a:stCxn id="7" idx="3"/>
        </xdr:cNvCxnSpPr>
      </xdr:nvCxnSpPr>
      <xdr:spPr>
        <a:xfrm>
          <a:off x="3257550" y="2171700"/>
          <a:ext cx="13462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8</xdr:row>
      <xdr:rowOff>82550</xdr:rowOff>
    </xdr:from>
    <xdr:to>
      <xdr:col>2</xdr:col>
      <xdr:colOff>177800</xdr:colOff>
      <xdr:row>13</xdr:row>
      <xdr:rowOff>6350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85CBAEF-2691-C112-AB03-C4C496752999}"/>
            </a:ext>
          </a:extLst>
        </xdr:cNvPr>
        <xdr:cNvSpPr txBox="1"/>
      </xdr:nvSpPr>
      <xdr:spPr>
        <a:xfrm>
          <a:off x="196850" y="2146300"/>
          <a:ext cx="1847850" cy="844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Time</a:t>
          </a:r>
          <a:r>
            <a:rPr lang="en-GB" sz="1100" baseline="0"/>
            <a:t> of new observations, starting with the initialising time at period 't-1' (the previous last observation)</a:t>
          </a:r>
          <a:endParaRPr lang="en-GB" sz="1100"/>
        </a:p>
      </xdr:txBody>
    </xdr:sp>
    <xdr:clientData/>
  </xdr:twoCellAnchor>
  <xdr:twoCellAnchor>
    <xdr:from>
      <xdr:col>0</xdr:col>
      <xdr:colOff>488950</xdr:colOff>
      <xdr:row>6</xdr:row>
      <xdr:rowOff>0</xdr:rowOff>
    </xdr:from>
    <xdr:to>
      <xdr:col>0</xdr:col>
      <xdr:colOff>1120775</xdr:colOff>
      <xdr:row>8</xdr:row>
      <xdr:rowOff>82550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60B7351-3E3E-C63A-6563-D143930894D9}"/>
            </a:ext>
          </a:extLst>
        </xdr:cNvPr>
        <xdr:cNvCxnSpPr>
          <a:stCxn id="2" idx="0"/>
        </xdr:cNvCxnSpPr>
      </xdr:nvCxnSpPr>
      <xdr:spPr>
        <a:xfrm flipH="1" flipV="1">
          <a:off x="488950" y="1682750"/>
          <a:ext cx="631825" cy="463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1120775</xdr:colOff>
      <xdr:row>6</xdr:row>
      <xdr:rowOff>0</xdr:rowOff>
    </xdr:from>
    <xdr:to>
      <xdr:col>1</xdr:col>
      <xdr:colOff>330200</xdr:colOff>
      <xdr:row>8</xdr:row>
      <xdr:rowOff>82550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C469728-8B84-4E5A-B70C-5051837B988A}"/>
            </a:ext>
          </a:extLst>
        </xdr:cNvPr>
        <xdr:cNvCxnSpPr>
          <a:stCxn id="2" idx="0"/>
        </xdr:cNvCxnSpPr>
      </xdr:nvCxnSpPr>
      <xdr:spPr>
        <a:xfrm flipV="1">
          <a:off x="1120775" y="1682750"/>
          <a:ext cx="358775" cy="463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342900</xdr:colOff>
      <xdr:row>8</xdr:row>
      <xdr:rowOff>50800</xdr:rowOff>
    </xdr:from>
    <xdr:to>
      <xdr:col>2</xdr:col>
      <xdr:colOff>1625600</xdr:colOff>
      <xdr:row>10</xdr:row>
      <xdr:rowOff>177800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116A6D29-16E3-49A3-896F-5E94F609AD65}"/>
            </a:ext>
          </a:extLst>
        </xdr:cNvPr>
        <xdr:cNvSpPr txBox="1"/>
      </xdr:nvSpPr>
      <xdr:spPr>
        <a:xfrm>
          <a:off x="2209800" y="2114550"/>
          <a:ext cx="128270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Input</a:t>
          </a:r>
          <a:r>
            <a:rPr lang="en-GB" sz="1100" baseline="0"/>
            <a:t> the new observations here </a:t>
          </a:r>
          <a:endParaRPr lang="en-GB" sz="1100"/>
        </a:p>
      </xdr:txBody>
    </xdr:sp>
    <xdr:clientData/>
  </xdr:twoCellAnchor>
  <xdr:twoCellAnchor>
    <xdr:from>
      <xdr:col>2</xdr:col>
      <xdr:colOff>984250</xdr:colOff>
      <xdr:row>6</xdr:row>
      <xdr:rowOff>0</xdr:rowOff>
    </xdr:from>
    <xdr:to>
      <xdr:col>2</xdr:col>
      <xdr:colOff>1314450</xdr:colOff>
      <xdr:row>8</xdr:row>
      <xdr:rowOff>50800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C60C379-E79C-49DE-A292-B96130BEB6C4}"/>
            </a:ext>
          </a:extLst>
        </xdr:cNvPr>
        <xdr:cNvCxnSpPr>
          <a:stCxn id="18" idx="0"/>
        </xdr:cNvCxnSpPr>
      </xdr:nvCxnSpPr>
      <xdr:spPr>
        <a:xfrm flipV="1">
          <a:off x="2851150" y="1676400"/>
          <a:ext cx="330200" cy="438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819150</xdr:colOff>
      <xdr:row>6</xdr:row>
      <xdr:rowOff>25400</xdr:rowOff>
    </xdr:from>
    <xdr:to>
      <xdr:col>3</xdr:col>
      <xdr:colOff>1212850</xdr:colOff>
      <xdr:row>8</xdr:row>
      <xdr:rowOff>76200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1A4BA749-51BA-4CC6-A8BC-8B343B5C05C5}"/>
            </a:ext>
          </a:extLst>
        </xdr:cNvPr>
        <xdr:cNvCxnSpPr>
          <a:stCxn id="23" idx="0"/>
        </xdr:cNvCxnSpPr>
      </xdr:nvCxnSpPr>
      <xdr:spPr>
        <a:xfrm flipV="1">
          <a:off x="4343400" y="1714500"/>
          <a:ext cx="393700" cy="425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177800</xdr:colOff>
      <xdr:row>8</xdr:row>
      <xdr:rowOff>76200</xdr:rowOff>
    </xdr:from>
    <xdr:to>
      <xdr:col>3</xdr:col>
      <xdr:colOff>1460500</xdr:colOff>
      <xdr:row>12</xdr:row>
      <xdr:rowOff>146050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A1641DC8-26EA-4BC5-8197-126661784CC4}"/>
            </a:ext>
          </a:extLst>
        </xdr:cNvPr>
        <xdr:cNvSpPr txBox="1"/>
      </xdr:nvSpPr>
      <xdr:spPr>
        <a:xfrm>
          <a:off x="3702050" y="2139950"/>
          <a:ext cx="1282700" cy="806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Input</a:t>
          </a:r>
          <a:r>
            <a:rPr lang="en-GB" sz="1100" baseline="0"/>
            <a:t> the previous seasonal indexes here (from the basic Forecast</a:t>
          </a:r>
          <a:endParaRPr lang="en-GB" sz="1100"/>
        </a:p>
      </xdr:txBody>
    </xdr:sp>
    <xdr:clientData/>
  </xdr:twoCellAnchor>
  <xdr:twoCellAnchor>
    <xdr:from>
      <xdr:col>3</xdr:col>
      <xdr:colOff>1714500</xdr:colOff>
      <xdr:row>8</xdr:row>
      <xdr:rowOff>22679</xdr:rowOff>
    </xdr:from>
    <xdr:to>
      <xdr:col>4</xdr:col>
      <xdr:colOff>1460500</xdr:colOff>
      <xdr:row>10</xdr:row>
      <xdr:rowOff>163286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FDD71CB-BD3F-453E-BCE9-F8069D975B2E}"/>
            </a:ext>
          </a:extLst>
        </xdr:cNvPr>
        <xdr:cNvSpPr txBox="1"/>
      </xdr:nvSpPr>
      <xdr:spPr>
        <a:xfrm>
          <a:off x="5243286" y="1437822"/>
          <a:ext cx="1651000" cy="5034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Estimate of deseasonalised</a:t>
          </a:r>
          <a:r>
            <a:rPr lang="en-GB" sz="1100" baseline="0"/>
            <a:t> forecast</a:t>
          </a:r>
          <a:endParaRPr lang="en-GB" sz="1100"/>
        </a:p>
      </xdr:txBody>
    </xdr:sp>
    <xdr:clientData/>
  </xdr:twoCellAnchor>
  <xdr:twoCellAnchor>
    <xdr:from>
      <xdr:col>8</xdr:col>
      <xdr:colOff>1206498</xdr:colOff>
      <xdr:row>18</xdr:row>
      <xdr:rowOff>127000</xdr:rowOff>
    </xdr:from>
    <xdr:to>
      <xdr:col>10</xdr:col>
      <xdr:colOff>761999</xdr:colOff>
      <xdr:row>21</xdr:row>
      <xdr:rowOff>72572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4835D74-A937-48B0-887F-70C466918919}"/>
            </a:ext>
          </a:extLst>
        </xdr:cNvPr>
        <xdr:cNvSpPr txBox="1"/>
      </xdr:nvSpPr>
      <xdr:spPr>
        <a:xfrm>
          <a:off x="11992427" y="3973286"/>
          <a:ext cx="2022929" cy="8436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Smoothing</a:t>
          </a:r>
          <a:r>
            <a:rPr lang="en-GB" sz="1100" baseline="0"/>
            <a:t> coefficiencts should be optimised to meet the specific forecasting requirements of Mad Ltd. </a:t>
          </a:r>
          <a:endParaRPr lang="en-GB" sz="1100"/>
        </a:p>
      </xdr:txBody>
    </xdr:sp>
    <xdr:clientData/>
  </xdr:twoCellAnchor>
  <xdr:twoCellAnchor>
    <xdr:from>
      <xdr:col>8</xdr:col>
      <xdr:colOff>36285</xdr:colOff>
      <xdr:row>19</xdr:row>
      <xdr:rowOff>249465</xdr:rowOff>
    </xdr:from>
    <xdr:to>
      <xdr:col>8</xdr:col>
      <xdr:colOff>1206498</xdr:colOff>
      <xdr:row>19</xdr:row>
      <xdr:rowOff>254000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93BEF27F-1FAB-4432-8BAC-13F4D454681B}"/>
            </a:ext>
          </a:extLst>
        </xdr:cNvPr>
        <xdr:cNvCxnSpPr>
          <a:stCxn id="31" idx="1"/>
        </xdr:cNvCxnSpPr>
      </xdr:nvCxnSpPr>
      <xdr:spPr>
        <a:xfrm flipH="1">
          <a:off x="10822214" y="4395108"/>
          <a:ext cx="1170213" cy="45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787398</xdr:colOff>
      <xdr:row>24</xdr:row>
      <xdr:rowOff>143331</xdr:rowOff>
    </xdr:from>
    <xdr:to>
      <xdr:col>3</xdr:col>
      <xdr:colOff>1551214</xdr:colOff>
      <xdr:row>28</xdr:row>
      <xdr:rowOff>108858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9DAF07FF-C82E-4914-BA68-1F2A0153F61F}"/>
            </a:ext>
          </a:extLst>
        </xdr:cNvPr>
        <xdr:cNvSpPr txBox="1"/>
      </xdr:nvSpPr>
      <xdr:spPr>
        <a:xfrm>
          <a:off x="2656112" y="5168902"/>
          <a:ext cx="2423888" cy="6912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An adjusted</a:t>
          </a:r>
          <a:r>
            <a:rPr lang="en-GB" sz="1100" baseline="0"/>
            <a:t> forecast will appear (beside the previous basic forecast) as other data is filled in.</a:t>
          </a:r>
          <a:endParaRPr lang="en-GB" sz="1100"/>
        </a:p>
      </xdr:txBody>
    </xdr:sp>
    <xdr:clientData/>
  </xdr:twoCellAnchor>
  <xdr:twoCellAnchor>
    <xdr:from>
      <xdr:col>3</xdr:col>
      <xdr:colOff>339270</xdr:colOff>
      <xdr:row>19</xdr:row>
      <xdr:rowOff>145143</xdr:rowOff>
    </xdr:from>
    <xdr:to>
      <xdr:col>3</xdr:col>
      <xdr:colOff>852714</xdr:colOff>
      <xdr:row>24</xdr:row>
      <xdr:rowOff>143331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C060A2F-95C1-4696-8C54-96B1DF98BD3F}"/>
            </a:ext>
          </a:extLst>
        </xdr:cNvPr>
        <xdr:cNvCxnSpPr>
          <a:stCxn id="35" idx="0"/>
        </xdr:cNvCxnSpPr>
      </xdr:nvCxnSpPr>
      <xdr:spPr>
        <a:xfrm flipV="1">
          <a:off x="3868056" y="4363357"/>
          <a:ext cx="513444" cy="137704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635000</xdr:colOff>
      <xdr:row>2</xdr:row>
      <xdr:rowOff>163286</xdr:rowOff>
    </xdr:from>
    <xdr:to>
      <xdr:col>4</xdr:col>
      <xdr:colOff>680357</xdr:colOff>
      <xdr:row>8</xdr:row>
      <xdr:rowOff>22679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736FF732-2995-442E-8262-82803F369DDA}"/>
            </a:ext>
          </a:extLst>
        </xdr:cNvPr>
        <xdr:cNvCxnSpPr>
          <a:stCxn id="27" idx="0"/>
        </xdr:cNvCxnSpPr>
      </xdr:nvCxnSpPr>
      <xdr:spPr>
        <a:xfrm flipV="1">
          <a:off x="6068786" y="1016000"/>
          <a:ext cx="45357" cy="4218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478971</xdr:colOff>
      <xdr:row>9</xdr:row>
      <xdr:rowOff>102509</xdr:rowOff>
    </xdr:from>
    <xdr:to>
      <xdr:col>9</xdr:col>
      <xdr:colOff>752928</xdr:colOff>
      <xdr:row>13</xdr:row>
      <xdr:rowOff>72572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39F43ABD-4AD4-42EC-8192-F92891C045FD}"/>
            </a:ext>
          </a:extLst>
        </xdr:cNvPr>
        <xdr:cNvSpPr txBox="1"/>
      </xdr:nvSpPr>
      <xdr:spPr>
        <a:xfrm>
          <a:off x="10003971" y="1699080"/>
          <a:ext cx="2759528" cy="6957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n-GB" sz="1100"/>
          </a:br>
          <a:r>
            <a:rPr lang="en-GB" sz="1100"/>
            <a:t>Smoothed</a:t>
          </a:r>
          <a:r>
            <a:rPr lang="en-GB" sz="1100" baseline="0"/>
            <a:t> Level and Trend must be initialised using data from the basic forecast</a:t>
          </a:r>
          <a:endParaRPr lang="en-GB" sz="1100"/>
        </a:p>
      </xdr:txBody>
    </xdr:sp>
    <xdr:clientData/>
  </xdr:twoCellAnchor>
  <xdr:twoCellAnchor>
    <xdr:from>
      <xdr:col>7</xdr:col>
      <xdr:colOff>462643</xdr:colOff>
      <xdr:row>1</xdr:row>
      <xdr:rowOff>281214</xdr:rowOff>
    </xdr:from>
    <xdr:to>
      <xdr:col>8</xdr:col>
      <xdr:colOff>44449</xdr:colOff>
      <xdr:row>9</xdr:row>
      <xdr:rowOff>84366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82C5EDDE-E369-4BE4-8E7A-3BBF47A3D89D}"/>
            </a:ext>
          </a:extLst>
        </xdr:cNvPr>
        <xdr:cNvCxnSpPr/>
      </xdr:nvCxnSpPr>
      <xdr:spPr>
        <a:xfrm flipH="1" flipV="1">
          <a:off x="9987643" y="780143"/>
          <a:ext cx="842735" cy="90079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597806</xdr:colOff>
      <xdr:row>1</xdr:row>
      <xdr:rowOff>272142</xdr:rowOff>
    </xdr:from>
    <xdr:to>
      <xdr:col>9</xdr:col>
      <xdr:colOff>480786</xdr:colOff>
      <xdr:row>9</xdr:row>
      <xdr:rowOff>102509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32F2CE76-1649-40D3-8E85-CFCC5F8548B5}"/>
            </a:ext>
          </a:extLst>
        </xdr:cNvPr>
        <xdr:cNvCxnSpPr>
          <a:stCxn id="52" idx="0"/>
        </xdr:cNvCxnSpPr>
      </xdr:nvCxnSpPr>
      <xdr:spPr>
        <a:xfrm flipV="1">
          <a:off x="11383735" y="771071"/>
          <a:ext cx="1107622" cy="92800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14</xdr:row>
      <xdr:rowOff>12700</xdr:rowOff>
    </xdr:from>
    <xdr:to>
      <xdr:col>2</xdr:col>
      <xdr:colOff>632279</xdr:colOff>
      <xdr:row>19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5EA551C-3C63-447F-A0E8-661BD7DA136B}"/>
            </a:ext>
          </a:extLst>
        </xdr:cNvPr>
        <xdr:cNvSpPr txBox="1"/>
      </xdr:nvSpPr>
      <xdr:spPr>
        <a:xfrm>
          <a:off x="44450" y="2590800"/>
          <a:ext cx="2022929" cy="984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1. This</a:t>
          </a:r>
          <a:r>
            <a:rPr lang="en-GB" sz="1100" baseline="0"/>
            <a:t> is a separate model to display different measures of error from inputs of observations and the two types of forecast.</a:t>
          </a:r>
        </a:p>
      </xdr:txBody>
    </xdr:sp>
    <xdr:clientData/>
  </xdr:twoCellAnchor>
  <xdr:twoCellAnchor>
    <xdr:from>
      <xdr:col>0</xdr:col>
      <xdr:colOff>565150</xdr:colOff>
      <xdr:row>5</xdr:row>
      <xdr:rowOff>6350</xdr:rowOff>
    </xdr:from>
    <xdr:to>
      <xdr:col>1</xdr:col>
      <xdr:colOff>230415</xdr:colOff>
      <xdr:row>14</xdr:row>
      <xdr:rowOff>12700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4164D0C8-891F-25FA-BB59-F61699FEA307}"/>
            </a:ext>
          </a:extLst>
        </xdr:cNvPr>
        <xdr:cNvCxnSpPr>
          <a:stCxn id="2" idx="0"/>
        </xdr:cNvCxnSpPr>
      </xdr:nvCxnSpPr>
      <xdr:spPr>
        <a:xfrm flipH="1" flipV="1">
          <a:off x="565150" y="927100"/>
          <a:ext cx="490765" cy="1663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349250</xdr:colOff>
      <xdr:row>22</xdr:row>
      <xdr:rowOff>12700</xdr:rowOff>
    </xdr:from>
    <xdr:to>
      <xdr:col>4</xdr:col>
      <xdr:colOff>156029</xdr:colOff>
      <xdr:row>28</xdr:row>
      <xdr:rowOff>120650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686D382-B7AC-44C1-BCF8-81497834C281}"/>
            </a:ext>
          </a:extLst>
        </xdr:cNvPr>
        <xdr:cNvSpPr txBox="1"/>
      </xdr:nvSpPr>
      <xdr:spPr>
        <a:xfrm>
          <a:off x="1174750" y="4064000"/>
          <a:ext cx="2022929" cy="1212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Mean Error</a:t>
          </a:r>
          <a:r>
            <a:rPr lang="en-GB" sz="1100" baseline="0"/>
            <a:t> measures the raw difference between observation and forecast. This is helpful in measuring the amount of overstocking or lack of stock for that particular good. </a:t>
          </a:r>
        </a:p>
      </xdr:txBody>
    </xdr:sp>
    <xdr:clientData/>
  </xdr:twoCellAnchor>
  <xdr:twoCellAnchor>
    <xdr:from>
      <xdr:col>2</xdr:col>
      <xdr:colOff>751115</xdr:colOff>
      <xdr:row>8</xdr:row>
      <xdr:rowOff>38100</xdr:rowOff>
    </xdr:from>
    <xdr:to>
      <xdr:col>3</xdr:col>
      <xdr:colOff>247650</xdr:colOff>
      <xdr:row>22</xdr:row>
      <xdr:rowOff>12700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3D3F43F8-F020-4A7D-97AA-B60C91C484DD}"/>
            </a:ext>
          </a:extLst>
        </xdr:cNvPr>
        <xdr:cNvCxnSpPr>
          <a:stCxn id="7" idx="0"/>
        </xdr:cNvCxnSpPr>
      </xdr:nvCxnSpPr>
      <xdr:spPr>
        <a:xfrm flipV="1">
          <a:off x="2186215" y="1511300"/>
          <a:ext cx="493485" cy="2552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171451</xdr:colOff>
      <xdr:row>14</xdr:row>
      <xdr:rowOff>146050</xdr:rowOff>
    </xdr:from>
    <xdr:to>
      <xdr:col>5</xdr:col>
      <xdr:colOff>127001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455231B-C759-4909-AA43-7D62036E0403}"/>
            </a:ext>
          </a:extLst>
        </xdr:cNvPr>
        <xdr:cNvSpPr txBox="1"/>
      </xdr:nvSpPr>
      <xdr:spPr>
        <a:xfrm>
          <a:off x="2603501" y="2724150"/>
          <a:ext cx="1530350" cy="1022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Mean squared error </a:t>
          </a:r>
          <a:r>
            <a:rPr lang="en-GB" sz="1100" baseline="0"/>
            <a:t>measures the </a:t>
          </a:r>
          <a:r>
            <a:rPr lang="en-GB" sz="1100" u="sng" baseline="0"/>
            <a:t>consistency </a:t>
          </a:r>
          <a:r>
            <a:rPr lang="en-GB" sz="1100" u="none" baseline="0"/>
            <a:t> between the basic forecast and observations</a:t>
          </a:r>
          <a:endParaRPr lang="en-GB" sz="1100" u="sng" baseline="0"/>
        </a:p>
      </xdr:txBody>
    </xdr:sp>
    <xdr:clientData/>
  </xdr:twoCellAnchor>
  <xdr:twoCellAnchor>
    <xdr:from>
      <xdr:col>4</xdr:col>
      <xdr:colOff>327026</xdr:colOff>
      <xdr:row>8</xdr:row>
      <xdr:rowOff>6350</xdr:rowOff>
    </xdr:from>
    <xdr:to>
      <xdr:col>4</xdr:col>
      <xdr:colOff>501650</xdr:colOff>
      <xdr:row>14</xdr:row>
      <xdr:rowOff>146050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AB0C619-B596-421B-8207-1FF99A6ADB9A}"/>
            </a:ext>
          </a:extLst>
        </xdr:cNvPr>
        <xdr:cNvCxnSpPr>
          <a:stCxn id="11" idx="0"/>
        </xdr:cNvCxnSpPr>
      </xdr:nvCxnSpPr>
      <xdr:spPr>
        <a:xfrm flipV="1">
          <a:off x="3368676" y="1479550"/>
          <a:ext cx="174624" cy="1244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736600</xdr:colOff>
      <xdr:row>21</xdr:row>
      <xdr:rowOff>146050</xdr:rowOff>
    </xdr:from>
    <xdr:to>
      <xdr:col>6</xdr:col>
      <xdr:colOff>816429</xdr:colOff>
      <xdr:row>26</xdr:row>
      <xdr:rowOff>19050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1BD562-400A-4156-955D-F0EFA6A4AB86}"/>
            </a:ext>
          </a:extLst>
        </xdr:cNvPr>
        <xdr:cNvSpPr txBox="1"/>
      </xdr:nvSpPr>
      <xdr:spPr>
        <a:xfrm>
          <a:off x="3778250" y="4013200"/>
          <a:ext cx="2022929" cy="793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Mean Absolute Error </a:t>
          </a:r>
          <a:r>
            <a:rPr lang="en-GB" sz="1100" baseline="0"/>
            <a:t>measures the </a:t>
          </a:r>
          <a:r>
            <a:rPr lang="en-GB" sz="1100" u="sng" baseline="0"/>
            <a:t>absolute consistency</a:t>
          </a:r>
          <a:r>
            <a:rPr lang="en-GB" sz="1100" u="none" baseline="0"/>
            <a:t> between observations and forecasts (absolute bias).</a:t>
          </a:r>
          <a:endParaRPr lang="en-GB" sz="1100" baseline="0"/>
        </a:p>
      </xdr:txBody>
    </xdr:sp>
    <xdr:clientData/>
  </xdr:twoCellAnchor>
  <xdr:twoCellAnchor>
    <xdr:from>
      <xdr:col>5</xdr:col>
      <xdr:colOff>819150</xdr:colOff>
      <xdr:row>12</xdr:row>
      <xdr:rowOff>50800</xdr:rowOff>
    </xdr:from>
    <xdr:to>
      <xdr:col>7</xdr:col>
      <xdr:colOff>708479</xdr:colOff>
      <xdr:row>16</xdr:row>
      <xdr:rowOff>107950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3A92FE9-E6A8-4355-A228-7448F3CA9A71}"/>
            </a:ext>
          </a:extLst>
        </xdr:cNvPr>
        <xdr:cNvSpPr txBox="1"/>
      </xdr:nvSpPr>
      <xdr:spPr>
        <a:xfrm>
          <a:off x="4826000" y="2260600"/>
          <a:ext cx="2022929" cy="793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Mean Percentage Error </a:t>
          </a:r>
          <a:r>
            <a:rPr lang="en-GB" sz="1100" baseline="0"/>
            <a:t>measures the </a:t>
          </a:r>
          <a:r>
            <a:rPr lang="en-GB" sz="1100" u="sng" baseline="0"/>
            <a:t>relative bias</a:t>
          </a:r>
          <a:r>
            <a:rPr lang="en-GB" sz="1100" u="none" baseline="0"/>
            <a:t> between forecast and observation</a:t>
          </a:r>
          <a:endParaRPr lang="en-GB" sz="1100" baseline="0"/>
        </a:p>
      </xdr:txBody>
    </xdr:sp>
    <xdr:clientData/>
  </xdr:twoCellAnchor>
  <xdr:twoCellAnchor>
    <xdr:from>
      <xdr:col>7</xdr:col>
      <xdr:colOff>1016001</xdr:colOff>
      <xdr:row>9</xdr:row>
      <xdr:rowOff>82550</xdr:rowOff>
    </xdr:from>
    <xdr:to>
      <xdr:col>9</xdr:col>
      <xdr:colOff>266701</xdr:colOff>
      <xdr:row>15</xdr:row>
      <xdr:rowOff>88900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A63B98-2749-4E27-9134-7A3398FA5DF4}"/>
            </a:ext>
          </a:extLst>
        </xdr:cNvPr>
        <xdr:cNvSpPr txBox="1"/>
      </xdr:nvSpPr>
      <xdr:spPr>
        <a:xfrm>
          <a:off x="7156451" y="1739900"/>
          <a:ext cx="1625600" cy="1111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Mean Absolute Percentage Error </a:t>
          </a:r>
          <a:r>
            <a:rPr lang="en-GB" sz="1100" baseline="0"/>
            <a:t>measures </a:t>
          </a:r>
          <a:r>
            <a:rPr lang="en-GB" sz="1100" u="sng" baseline="0"/>
            <a:t>relative consistency</a:t>
          </a:r>
          <a:r>
            <a:rPr lang="en-GB" sz="1100" u="none" baseline="0"/>
            <a:t> between forecast and observation</a:t>
          </a:r>
          <a:endParaRPr lang="en-GB" sz="1100" baseline="0"/>
        </a:p>
      </xdr:txBody>
    </xdr:sp>
    <xdr:clientData/>
  </xdr:twoCellAnchor>
  <xdr:twoCellAnchor>
    <xdr:from>
      <xdr:col>7</xdr:col>
      <xdr:colOff>755650</xdr:colOff>
      <xdr:row>8</xdr:row>
      <xdr:rowOff>57150</xdr:rowOff>
    </xdr:from>
    <xdr:to>
      <xdr:col>7</xdr:col>
      <xdr:colOff>1016001</xdr:colOff>
      <xdr:row>12</xdr:row>
      <xdr:rowOff>85725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6E6EB98A-25D3-432B-8FF7-4D06817703A1}"/>
            </a:ext>
          </a:extLst>
        </xdr:cNvPr>
        <xdr:cNvCxnSpPr>
          <a:stCxn id="18" idx="1"/>
        </xdr:cNvCxnSpPr>
      </xdr:nvCxnSpPr>
      <xdr:spPr>
        <a:xfrm flipH="1" flipV="1">
          <a:off x="6896100" y="1530350"/>
          <a:ext cx="260351" cy="765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558800</xdr:colOff>
      <xdr:row>8</xdr:row>
      <xdr:rowOff>63500</xdr:rowOff>
    </xdr:from>
    <xdr:to>
      <xdr:col>6</xdr:col>
      <xdr:colOff>852715</xdr:colOff>
      <xdr:row>12</xdr:row>
      <xdr:rowOff>50800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78DD87F2-6238-4318-A5B0-9ABC3782A479}"/>
            </a:ext>
          </a:extLst>
        </xdr:cNvPr>
        <xdr:cNvCxnSpPr>
          <a:stCxn id="17" idx="0"/>
        </xdr:cNvCxnSpPr>
      </xdr:nvCxnSpPr>
      <xdr:spPr>
        <a:xfrm flipH="1" flipV="1">
          <a:off x="5543550" y="1536700"/>
          <a:ext cx="293915" cy="723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368300</xdr:colOff>
      <xdr:row>8</xdr:row>
      <xdr:rowOff>50800</xdr:rowOff>
    </xdr:from>
    <xdr:to>
      <xdr:col>5</xdr:col>
      <xdr:colOff>782865</xdr:colOff>
      <xdr:row>21</xdr:row>
      <xdr:rowOff>146050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5DD4541-0292-49FD-9FD7-233461258CF5}"/>
            </a:ext>
          </a:extLst>
        </xdr:cNvPr>
        <xdr:cNvCxnSpPr>
          <a:stCxn id="16" idx="0"/>
        </xdr:cNvCxnSpPr>
      </xdr:nvCxnSpPr>
      <xdr:spPr>
        <a:xfrm flipH="1" flipV="1">
          <a:off x="4375150" y="1524000"/>
          <a:ext cx="414565" cy="2489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374651</xdr:colOff>
      <xdr:row>2</xdr:row>
      <xdr:rowOff>95250</xdr:rowOff>
    </xdr:from>
    <xdr:to>
      <xdr:col>15</xdr:col>
      <xdr:colOff>79376</xdr:colOff>
      <xdr:row>26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9DFAD9-ACBE-2923-1745-EA7AA6BBA1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374651</xdr:colOff>
      <xdr:row>2</xdr:row>
      <xdr:rowOff>95250</xdr:rowOff>
    </xdr:from>
    <xdr:to>
      <xdr:col>15</xdr:col>
      <xdr:colOff>79376</xdr:colOff>
      <xdr:row>26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8E363A-17A6-41C7-A09F-BA5CDDAC4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trath.sharepoint.com/sites/MS_STU_SMDF/Shared%20Documents/General/SMDF%20Assignment/SMDF%20Case%20Study%20Q5.xlsx" TargetMode="External"/><Relationship Id="rId1" Type="http://schemas.openxmlformats.org/officeDocument/2006/relationships/externalLinkPath" Target="https://strath.sharepoint.com/sites/MS_STU_SMDF/Shared%20Documents/General/SMDF%20Assignment/SMDF%20Case%20Study%20Q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ic holt-winters"/>
      <sheetName val="time-series"/>
      <sheetName val="forecast (basic)"/>
      <sheetName val="adjust"/>
      <sheetName val="forecast (adjusted)"/>
      <sheetName val="errors"/>
    </sheetNames>
    <sheetDataSet>
      <sheetData sheetId="0">
        <row r="3">
          <cell r="K3">
            <v>1.5108522334808365</v>
          </cell>
        </row>
        <row r="4">
          <cell r="K4">
            <v>1.0178111540079759</v>
          </cell>
        </row>
        <row r="5">
          <cell r="K5">
            <v>1.8235807742935088</v>
          </cell>
        </row>
        <row r="19">
          <cell r="F19">
            <v>2.2916666666666665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F4E8FA-5EF7-4647-AF96-A3BA6615D3FF}" name="Table6" displayName="Table6" ref="A1:L6" totalsRowShown="0" headerRowDxfId="16">
  <autoFilter ref="A1:L6" xr:uid="{B024E410-D45D-4378-A7AC-179A6E4C18A0}"/>
  <tableColumns count="12">
    <tableColumn id="1" xr3:uid="{B79FBCF9-88BD-459A-ABE5-D4296B27E1D9}" name="Year"/>
    <tableColumn id="2" xr3:uid="{6BDF147C-A1C7-49B8-A80A-09DDC91FDF02}" name="Period"/>
    <tableColumn id="3" xr3:uid="{A4BA84B7-AE24-497F-BE64-4962A81930F2}" name="Observation (example)" dataDxfId="15"/>
    <tableColumn id="4" xr3:uid="{4B292663-06A5-452C-8EAA-47897352BB16}" name="Initialising Seasonal Index" dataDxfId="14">
      <calculatedColumnFormula>'[1]basic holt-winters'!K1</calculatedColumnFormula>
    </tableColumn>
    <tableColumn id="5" xr3:uid="{6C482243-DA28-432E-B21C-EDCB0C880F52}" name="Deseasoned forecast" dataDxfId="13">
      <calculatedColumnFormula>H1+J1</calculatedColumnFormula>
    </tableColumn>
    <tableColumn id="6" xr3:uid="{0A2F5DED-DD11-439B-8214-87A86BB4AE2A}" name="Forecast" dataDxfId="12">
      <calculatedColumnFormula>(H1+J1)*D2</calculatedColumnFormula>
    </tableColumn>
    <tableColumn id="7" xr3:uid="{3B4ECF95-4A0C-4898-AC09-CB9408D36251}" name="Observed Level" dataDxfId="11">
      <calculatedColumnFormula>C2/D2</calculatedColumnFormula>
    </tableColumn>
    <tableColumn id="8" xr3:uid="{E6FF2200-7188-40CD-B127-DC01FD6AA5D7}" name="Smoothed Level" dataDxfId="2">
      <calculatedColumnFormula>$H$18*G2+(1-$H$18)*E2</calculatedColumnFormula>
    </tableColumn>
    <tableColumn id="9" xr3:uid="{6C0232B9-12C4-43D1-B5DE-25B7A8877C1F}" name="Observed Trend" dataDxfId="10">
      <calculatedColumnFormula>H2-H1</calculatedColumnFormula>
    </tableColumn>
    <tableColumn id="10" xr3:uid="{89DB03C1-B1F9-430F-89A4-1C747260163A}" name="Smoothed trend" dataDxfId="1">
      <calculatedColumnFormula>'Ex. Basic Forecast'!$E$19</calculatedColumnFormula>
    </tableColumn>
    <tableColumn id="11" xr3:uid="{6E26C862-A6E6-4AA8-BB68-F09C4968D555}" name="Observed seasonal index" dataDxfId="9">
      <calculatedColumnFormula>C2/H2</calculatedColumnFormula>
    </tableColumn>
    <tableColumn id="12" xr3:uid="{781ED9E8-E2C5-4F1A-B5DD-B2DD80DE89E0}" name="Smoothed seasonal index_x000a_" dataDxfId="8">
      <calculatedColumnFormula>(1-$H$22)*D2+$H$22*K2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6D96DF-0971-4099-A2FD-9820796E54F8}" name="Table7" displayName="Table7" ref="G17:H23" totalsRowShown="0" headerRowDxfId="7" tableBorderDxfId="6">
  <autoFilter ref="G17:H23" xr:uid="{35B82412-E4EE-4C6A-A37F-783362F53042}"/>
  <tableColumns count="2">
    <tableColumn id="1" xr3:uid="{E02E83A2-66AF-438D-B414-836F6AB0070B}" name="Smoothing Parameter"/>
    <tableColumn id="2" xr3:uid="{AA8B3BD5-0ABC-408A-9611-5EA802A3A377}" name="Value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5D56AB-B1BB-4D87-B0CA-03370AE2D862}" name="Table9" displayName="Table9" ref="A17:E21" totalsRowShown="0" headerRowDxfId="4">
  <autoFilter ref="A17:E21" xr:uid="{FA8D8FF9-2C92-4173-9C37-46BABA1B4797}"/>
  <tableColumns count="5">
    <tableColumn id="1" xr3:uid="{0981CE20-D300-4FFD-861A-10AF659E83DA}" name="Year"/>
    <tableColumn id="2" xr3:uid="{47E50F56-0BF1-4CB8-9C12-A1D330A7CB6B}" name="Period"/>
    <tableColumn id="3" xr3:uid="{EE7DA73A-E7B3-4AFB-9E8F-F8530CE6C718}" name="Column1"/>
    <tableColumn id="4" xr3:uid="{72C4E2A8-288B-44CE-8D29-89F2CDDED7E2}" name="Adjusted Forecast" dataDxfId="0" dataCellStyle="Good">
      <calculatedColumnFormula>($H$6+B18*$J$6)*L3</calculatedColumnFormula>
    </tableColumn>
    <tableColumn id="5" xr3:uid="{7ABE3B09-3BA1-4842-A22B-7AC2358CF43B}" name="Basic Forecast" dataDxfId="3">
      <calculatedColumnFormula>'Ex. Basic Forecast'!D26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E5200-5D19-40BD-8803-8743E5F615FA}">
  <sheetPr codeName="Sheet4"/>
  <dimension ref="A1:A121"/>
  <sheetViews>
    <sheetView tabSelected="1" workbookViewId="0">
      <selection activeCell="G30" sqref="G30"/>
    </sheetView>
  </sheetViews>
  <sheetFormatPr defaultRowHeight="14.5" x14ac:dyDescent="0.35"/>
  <cols>
    <col min="1" max="1" width="11.81640625" bestFit="1" customWidth="1"/>
  </cols>
  <sheetData>
    <row r="1" spans="1:1" x14ac:dyDescent="0.35">
      <c r="A1" s="1" t="s">
        <v>10</v>
      </c>
    </row>
    <row r="2" spans="1:1" x14ac:dyDescent="0.35">
      <c r="A2" s="3">
        <v>8</v>
      </c>
    </row>
    <row r="3" spans="1:1" x14ac:dyDescent="0.35">
      <c r="A3" s="4">
        <v>10</v>
      </c>
    </row>
    <row r="4" spans="1:1" x14ac:dyDescent="0.35">
      <c r="A4" s="3">
        <v>7</v>
      </c>
    </row>
    <row r="5" spans="1:1" x14ac:dyDescent="0.35">
      <c r="A5" s="4">
        <v>15</v>
      </c>
    </row>
    <row r="6" spans="1:1" x14ac:dyDescent="0.35">
      <c r="A6" s="3">
        <v>15</v>
      </c>
    </row>
    <row r="7" spans="1:1" x14ac:dyDescent="0.35">
      <c r="A7" s="4">
        <v>17</v>
      </c>
    </row>
    <row r="8" spans="1:1" x14ac:dyDescent="0.35">
      <c r="A8" s="3">
        <v>14</v>
      </c>
    </row>
    <row r="9" spans="1:1" x14ac:dyDescent="0.35">
      <c r="A9" s="4">
        <v>28</v>
      </c>
    </row>
    <row r="10" spans="1:1" x14ac:dyDescent="0.35">
      <c r="A10" s="3">
        <v>25</v>
      </c>
    </row>
    <row r="11" spans="1:1" x14ac:dyDescent="0.35">
      <c r="A11" s="4">
        <v>26</v>
      </c>
    </row>
    <row r="12" spans="1:1" x14ac:dyDescent="0.35">
      <c r="A12" s="3">
        <v>21</v>
      </c>
    </row>
    <row r="13" spans="1:1" x14ac:dyDescent="0.35">
      <c r="A13" s="4">
        <v>40</v>
      </c>
    </row>
    <row r="14" spans="1:1" x14ac:dyDescent="0.35">
      <c r="A14" s="3">
        <v>31</v>
      </c>
    </row>
    <row r="15" spans="1:1" x14ac:dyDescent="0.35">
      <c r="A15" s="4">
        <v>34</v>
      </c>
    </row>
    <row r="16" spans="1:1" x14ac:dyDescent="0.35">
      <c r="A16" s="3">
        <v>28</v>
      </c>
    </row>
    <row r="17" spans="1:1" x14ac:dyDescent="0.35">
      <c r="A17" s="4">
        <v>57</v>
      </c>
    </row>
    <row r="18" spans="1:1" x14ac:dyDescent="0.35">
      <c r="A18" s="3"/>
    </row>
    <row r="19" spans="1:1" x14ac:dyDescent="0.35">
      <c r="A19" s="4"/>
    </row>
    <row r="20" spans="1:1" x14ac:dyDescent="0.35">
      <c r="A20" s="3"/>
    </row>
    <row r="21" spans="1:1" x14ac:dyDescent="0.35">
      <c r="A21" s="4"/>
    </row>
    <row r="22" spans="1:1" x14ac:dyDescent="0.35">
      <c r="A22" s="3"/>
    </row>
    <row r="23" spans="1:1" x14ac:dyDescent="0.35">
      <c r="A23" s="4"/>
    </row>
    <row r="24" spans="1:1" x14ac:dyDescent="0.35">
      <c r="A24" s="3"/>
    </row>
    <row r="25" spans="1:1" x14ac:dyDescent="0.35">
      <c r="A25" s="4"/>
    </row>
    <row r="26" spans="1:1" x14ac:dyDescent="0.35">
      <c r="A26" s="3"/>
    </row>
    <row r="27" spans="1:1" x14ac:dyDescent="0.35">
      <c r="A27" s="4"/>
    </row>
    <row r="28" spans="1:1" x14ac:dyDescent="0.35">
      <c r="A28" s="3"/>
    </row>
    <row r="29" spans="1:1" x14ac:dyDescent="0.35">
      <c r="A29" s="4"/>
    </row>
    <row r="30" spans="1:1" x14ac:dyDescent="0.35">
      <c r="A30" s="3"/>
    </row>
    <row r="31" spans="1:1" x14ac:dyDescent="0.35">
      <c r="A31" s="4"/>
    </row>
    <row r="32" spans="1:1" x14ac:dyDescent="0.35">
      <c r="A32" s="3"/>
    </row>
    <row r="33" spans="1:1" x14ac:dyDescent="0.35">
      <c r="A33" s="4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opulateDataWithHeadersAndHighlight">
                <anchor moveWithCells="1" sizeWithCells="1">
                  <from>
                    <xdr:col>5</xdr:col>
                    <xdr:colOff>317500</xdr:colOff>
                    <xdr:row>10</xdr:row>
                    <xdr:rowOff>101600</xdr:rowOff>
                  </from>
                  <to>
                    <xdr:col>14</xdr:col>
                    <xdr:colOff>203200</xdr:colOff>
                    <xdr:row>15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E619-6D1C-4943-967D-D45378C78163}">
  <sheetPr codeName="Sheet5"/>
  <dimension ref="A1:U39"/>
  <sheetViews>
    <sheetView zoomScale="70" workbookViewId="0">
      <selection activeCell="D39" sqref="D39"/>
    </sheetView>
  </sheetViews>
  <sheetFormatPr defaultRowHeight="14.5" x14ac:dyDescent="0.35"/>
  <cols>
    <col min="1" max="1" width="16.453125" customWidth="1"/>
    <col min="2" max="2" width="10.26953125" customWidth="1"/>
    <col min="3" max="3" width="23.7265625" customWidth="1"/>
    <col min="4" max="4" width="27.26953125" customWidth="1"/>
    <col min="5" max="5" width="21.81640625" customWidth="1"/>
    <col min="6" max="6" width="12.81640625" customWidth="1"/>
    <col min="7" max="7" width="23.90625" bestFit="1" customWidth="1"/>
    <col min="8" max="8" width="18" customWidth="1"/>
    <col min="9" max="9" width="17.54296875" customWidth="1"/>
    <col min="10" max="10" width="17.7265625" customWidth="1"/>
    <col min="11" max="11" width="26" customWidth="1"/>
    <col min="12" max="12" width="14.81640625" bestFit="1" customWidth="1"/>
    <col min="14" max="14" width="25.1796875" bestFit="1" customWidth="1"/>
    <col min="15" max="15" width="17.26953125" bestFit="1" customWidth="1"/>
  </cols>
  <sheetData>
    <row r="1" spans="1:21" ht="39" x14ac:dyDescent="0.35">
      <c r="A1" s="18" t="s">
        <v>0</v>
      </c>
      <c r="B1" s="18" t="s">
        <v>25</v>
      </c>
      <c r="C1" s="18" t="s">
        <v>26</v>
      </c>
      <c r="D1" s="18" t="s">
        <v>27</v>
      </c>
      <c r="E1" s="18" t="s">
        <v>28</v>
      </c>
      <c r="F1" s="18" t="s">
        <v>11</v>
      </c>
      <c r="G1" s="18" t="s">
        <v>29</v>
      </c>
      <c r="H1" s="18" t="s">
        <v>30</v>
      </c>
      <c r="I1" s="18" t="s">
        <v>31</v>
      </c>
      <c r="J1" s="18" t="s">
        <v>32</v>
      </c>
      <c r="K1" s="18" t="s">
        <v>33</v>
      </c>
      <c r="L1" s="18" t="s">
        <v>34</v>
      </c>
      <c r="R1" s="19"/>
      <c r="U1" s="19"/>
    </row>
    <row r="2" spans="1:21" ht="27.5" customHeight="1" x14ac:dyDescent="0.35">
      <c r="A2" s="43">
        <v>2017</v>
      </c>
      <c r="B2" s="43">
        <v>4</v>
      </c>
      <c r="C2" s="41"/>
      <c r="D2" s="41"/>
      <c r="E2" s="41"/>
      <c r="F2" s="41"/>
      <c r="G2" s="41"/>
      <c r="H2" s="42">
        <f>'Ex. Basic Forecast'!G17</f>
        <v>39.54294871794869</v>
      </c>
      <c r="I2" s="41"/>
      <c r="J2" s="41">
        <f>'Ex. Basic Forecast'!F19</f>
        <v>2.2083333333333335</v>
      </c>
      <c r="K2" s="41"/>
      <c r="L2" s="41"/>
    </row>
    <row r="3" spans="1:21" ht="15" customHeight="1" x14ac:dyDescent="0.35">
      <c r="A3" s="40">
        <v>2018</v>
      </c>
      <c r="B3" s="40">
        <v>1</v>
      </c>
      <c r="C3" s="9">
        <f>'Ex. Basic Forecast'!D22+5</f>
        <v>48.94082958748929</v>
      </c>
      <c r="D3" s="20">
        <f>'Ex. Basic Forecast'!K2</f>
        <v>1.0524426419652912</v>
      </c>
      <c r="E3" s="19">
        <f>H2+J2</f>
        <v>41.751282051282026</v>
      </c>
      <c r="F3" s="21">
        <f>(H2+J2)*D3</f>
        <v>43.940829587489297</v>
      </c>
      <c r="G3" s="19">
        <f>C3/D3</f>
        <v>46.502134782470478</v>
      </c>
      <c r="H3" s="19">
        <f>$H$18*G3+(1-$H$18)*E3</f>
        <v>42.701452597519719</v>
      </c>
      <c r="I3" s="19">
        <f>H3-H2</f>
        <v>3.158503879571029</v>
      </c>
      <c r="J3" s="22">
        <f>$H$18*Table6[[#This Row],[Observed Trend]] + (1-$H$18)*J2</f>
        <v>2.3983674425808728</v>
      </c>
      <c r="K3" s="22">
        <f>C3/H3</f>
        <v>1.1461162703006498</v>
      </c>
      <c r="L3" s="23">
        <f>(1-$H$22)*D3+$H$22*K3</f>
        <v>1.071177367632363</v>
      </c>
    </row>
    <row r="4" spans="1:21" ht="15" customHeight="1" x14ac:dyDescent="0.35">
      <c r="A4" s="40">
        <v>2018</v>
      </c>
      <c r="B4" s="40">
        <v>2</v>
      </c>
      <c r="C4" s="9">
        <f>'Ex. Basic Forecast'!D23</f>
        <v>44.945607238493274</v>
      </c>
      <c r="D4" s="20">
        <f>'[1]basic holt-winters'!K3</f>
        <v>1.5108522334808365</v>
      </c>
      <c r="E4" s="19">
        <f>H3+J3</f>
        <v>45.099820040100589</v>
      </c>
      <c r="F4" s="21">
        <f>(H3+J3)*D4</f>
        <v>68.139163837169761</v>
      </c>
      <c r="G4" s="19">
        <f>C4/D4</f>
        <v>29.748512953476308</v>
      </c>
      <c r="H4" s="19">
        <f t="shared" ref="H4:H6" si="0">$H$18*G4+(1-$H$18)*E4</f>
        <v>42.029558622775731</v>
      </c>
      <c r="I4" s="19">
        <f>H4-H3</f>
        <v>-0.6718939747439876</v>
      </c>
      <c r="J4" s="22">
        <f>$H$18*Table6[[#This Row],[Observed Trend]] + (1-$H$18)*J3</f>
        <v>1.7843151591159008</v>
      </c>
      <c r="K4" s="22">
        <f>C4/H4</f>
        <v>1.0693809002823393</v>
      </c>
      <c r="L4" s="23">
        <f>(1-$H$22)*D4+$H$22*K4</f>
        <v>1.4225579668411372</v>
      </c>
    </row>
    <row r="5" spans="1:21" ht="15" customHeight="1" x14ac:dyDescent="0.35">
      <c r="A5" s="40">
        <v>2018</v>
      </c>
      <c r="B5" s="40">
        <v>3</v>
      </c>
      <c r="C5" s="9">
        <v>35</v>
      </c>
      <c r="D5" s="20">
        <f>'[1]basic holt-winters'!K4</f>
        <v>1.0178111540079759</v>
      </c>
      <c r="E5" s="19">
        <f>H4+J4</f>
        <v>43.81387378189163</v>
      </c>
      <c r="F5" s="21">
        <f>(H4+J4)*D5</f>
        <v>44.594249435506924</v>
      </c>
      <c r="G5" s="19">
        <f>C5/D5</f>
        <v>34.38751861008366</v>
      </c>
      <c r="H5" s="19">
        <f t="shared" si="0"/>
        <v>41.928602747530036</v>
      </c>
      <c r="I5" s="19">
        <f>H5-H4</f>
        <v>-0.10095587524569538</v>
      </c>
      <c r="J5" s="22">
        <f>$H$18*Table6[[#This Row],[Observed Trend]] + (1-$H$18)*J4</f>
        <v>1.4072609522435817</v>
      </c>
      <c r="K5" s="22">
        <f>C5/H5</f>
        <v>0.83475235773416767</v>
      </c>
      <c r="L5" s="23">
        <f>(1-$H$22)*D5+$H$22*K5</f>
        <v>0.98119939475321427</v>
      </c>
    </row>
    <row r="6" spans="1:21" ht="15" customHeight="1" x14ac:dyDescent="0.35">
      <c r="A6" s="40">
        <v>2018</v>
      </c>
      <c r="B6" s="40">
        <v>4</v>
      </c>
      <c r="C6" s="9">
        <v>44</v>
      </c>
      <c r="D6" s="20">
        <f>'[1]basic holt-winters'!K5</f>
        <v>1.8235807742935088</v>
      </c>
      <c r="E6" s="19">
        <f>H5+J5</f>
        <v>43.335863699773618</v>
      </c>
      <c r="F6" s="21">
        <f>(H5+J5)*D6</f>
        <v>79.026447880311139</v>
      </c>
      <c r="G6" s="19">
        <f>C6/D6</f>
        <v>24.128352645660275</v>
      </c>
      <c r="H6" s="19">
        <f t="shared" si="0"/>
        <v>39.49436148895095</v>
      </c>
      <c r="I6" s="19">
        <f>H6-H5</f>
        <v>-2.4342412585790854</v>
      </c>
      <c r="J6" s="22">
        <f>$H$18*Table6[[#This Row],[Observed Trend]] + (1-$H$18)*J5</f>
        <v>0.6389605100790483</v>
      </c>
      <c r="K6" s="22">
        <f>C6/H6</f>
        <v>1.1140830827790331</v>
      </c>
      <c r="L6" s="23">
        <f>(1-$H$22)*D6+$H$22*K6</f>
        <v>1.6816812359906139</v>
      </c>
    </row>
    <row r="7" spans="1:21" x14ac:dyDescent="0.35">
      <c r="C7" s="24"/>
      <c r="D7" s="23"/>
      <c r="E7" s="19"/>
      <c r="F7" s="21"/>
      <c r="G7" s="19"/>
      <c r="H7" s="19"/>
      <c r="I7" s="19"/>
      <c r="J7" s="22"/>
      <c r="K7" s="22"/>
      <c r="L7" s="23"/>
    </row>
    <row r="8" spans="1:21" ht="15" customHeight="1" x14ac:dyDescent="0.35">
      <c r="K8" s="22"/>
      <c r="L8" s="23"/>
    </row>
    <row r="9" spans="1:21" x14ac:dyDescent="0.35">
      <c r="C9" s="24"/>
      <c r="D9" s="23"/>
      <c r="E9" s="19"/>
      <c r="F9" s="21"/>
      <c r="I9" s="19"/>
      <c r="J9" s="22"/>
      <c r="K9" s="22"/>
      <c r="L9" s="23"/>
    </row>
    <row r="15" spans="1:21" x14ac:dyDescent="0.35">
      <c r="A15" s="6" t="s">
        <v>38</v>
      </c>
      <c r="B15" s="6"/>
      <c r="C15" s="28"/>
      <c r="D15" s="6"/>
      <c r="F15" s="29"/>
    </row>
    <row r="16" spans="1:21" x14ac:dyDescent="0.35">
      <c r="C16" s="28"/>
    </row>
    <row r="17" spans="1:11" x14ac:dyDescent="0.35">
      <c r="A17" s="31" t="s">
        <v>0</v>
      </c>
      <c r="B17" s="31" t="s">
        <v>25</v>
      </c>
      <c r="C17" s="31" t="s">
        <v>40</v>
      </c>
      <c r="D17" s="18" t="s">
        <v>18</v>
      </c>
      <c r="E17" s="18" t="s">
        <v>12</v>
      </c>
      <c r="F17" s="32"/>
      <c r="G17" s="25" t="s">
        <v>35</v>
      </c>
      <c r="H17" s="25" t="s">
        <v>36</v>
      </c>
      <c r="I17" s="34"/>
      <c r="J17" s="34"/>
      <c r="K17" s="34"/>
    </row>
    <row r="18" spans="1:11" ht="23.5" x14ac:dyDescent="0.35">
      <c r="A18">
        <v>2019</v>
      </c>
      <c r="B18">
        <v>1</v>
      </c>
      <c r="D18" s="35">
        <f t="shared" ref="D18:D21" si="1">($H$6+B18*$J$6)*L3</f>
        <v>42.989906213262962</v>
      </c>
      <c r="E18" s="36">
        <f>'Ex. Basic Forecast'!D26</f>
        <v>53.237406258182681</v>
      </c>
      <c r="F18" s="28"/>
      <c r="G18" s="26" t="s">
        <v>37</v>
      </c>
      <c r="H18" s="27">
        <v>0.2</v>
      </c>
      <c r="J18" s="19"/>
    </row>
    <row r="19" spans="1:11" ht="23.5" x14ac:dyDescent="0.35">
      <c r="A19">
        <v>2019</v>
      </c>
      <c r="B19">
        <v>2</v>
      </c>
      <c r="D19" s="35">
        <f>($H$6+B19*$J$6)*L4</f>
        <v>58.000935309630627</v>
      </c>
      <c r="E19" s="36">
        <f>'Ex. Basic Forecast'!D27</f>
        <v>53.977067753628624</v>
      </c>
      <c r="F19" s="28"/>
      <c r="G19" s="26"/>
      <c r="H19" s="27"/>
      <c r="J19" s="19"/>
    </row>
    <row r="20" spans="1:11" ht="23.5" x14ac:dyDescent="0.35">
      <c r="A20">
        <v>2019</v>
      </c>
      <c r="B20">
        <v>3</v>
      </c>
      <c r="D20" s="35">
        <f t="shared" si="1"/>
        <v>40.632686586405626</v>
      </c>
      <c r="E20" s="36">
        <f>'Ex. Basic Forecast'!D28</f>
        <v>39.115242467232946</v>
      </c>
      <c r="F20" s="28"/>
      <c r="G20" s="30" t="s">
        <v>39</v>
      </c>
      <c r="H20" s="27">
        <v>0.2</v>
      </c>
      <c r="J20" s="19"/>
    </row>
    <row r="21" spans="1:11" ht="23.5" x14ac:dyDescent="0.35">
      <c r="A21">
        <v>2019</v>
      </c>
      <c r="B21">
        <v>4</v>
      </c>
      <c r="D21" s="35">
        <f t="shared" si="1"/>
        <v>70.715038244754851</v>
      </c>
      <c r="E21" s="36">
        <f>'Ex. Basic Forecast'!D29</f>
        <v>74.000150728852162</v>
      </c>
      <c r="F21" s="28"/>
      <c r="G21" s="30"/>
      <c r="H21" s="27"/>
      <c r="J21" s="19"/>
    </row>
    <row r="22" spans="1:11" ht="23.5" x14ac:dyDescent="0.35">
      <c r="D22" s="19"/>
      <c r="E22" s="39"/>
      <c r="G22" s="33" t="s">
        <v>41</v>
      </c>
      <c r="H22" s="27">
        <v>0.2</v>
      </c>
      <c r="K22" s="19"/>
    </row>
    <row r="23" spans="1:11" ht="23.5" x14ac:dyDescent="0.35">
      <c r="G23" s="37"/>
      <c r="H23" s="38"/>
    </row>
    <row r="39" spans="10:10" x14ac:dyDescent="0.35">
      <c r="J39" t="s">
        <v>42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89E4-7F18-4826-B1CE-4824A2BC1EDB}">
  <sheetPr codeName="Sheet6"/>
  <dimension ref="A1:O8"/>
  <sheetViews>
    <sheetView workbookViewId="0">
      <selection activeCell="K22" sqref="K22"/>
    </sheetView>
  </sheetViews>
  <sheetFormatPr defaultRowHeight="14.5" x14ac:dyDescent="0.35"/>
  <cols>
    <col min="1" max="1" width="11.81640625" bestFit="1" customWidth="1"/>
    <col min="3" max="3" width="14.26953125" bestFit="1" customWidth="1"/>
    <col min="5" max="5" width="13.81640625" bestFit="1" customWidth="1"/>
    <col min="6" max="6" width="14" bestFit="1" customWidth="1"/>
    <col min="7" max="7" width="16.54296875" bestFit="1" customWidth="1"/>
    <col min="8" max="8" width="25.26953125" bestFit="1" customWidth="1"/>
    <col min="10" max="10" width="17" bestFit="1" customWidth="1"/>
    <col min="12" max="12" width="13.81640625" bestFit="1" customWidth="1"/>
    <col min="13" max="13" width="14" bestFit="1" customWidth="1"/>
    <col min="14" max="14" width="16.54296875" bestFit="1" customWidth="1"/>
    <col min="15" max="15" width="25.26953125" bestFit="1" customWidth="1"/>
  </cols>
  <sheetData>
    <row r="1" spans="1:15" x14ac:dyDescent="0.35">
      <c r="A1" s="6" t="s">
        <v>3</v>
      </c>
      <c r="B1" s="6"/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  <c r="I1" s="7"/>
      <c r="J1" s="7" t="s">
        <v>18</v>
      </c>
      <c r="K1" s="7" t="s">
        <v>13</v>
      </c>
      <c r="L1" s="7" t="s">
        <v>14</v>
      </c>
      <c r="M1" s="7" t="s">
        <v>15</v>
      </c>
      <c r="N1" s="7" t="s">
        <v>16</v>
      </c>
      <c r="O1" s="7" t="s">
        <v>17</v>
      </c>
    </row>
    <row r="2" spans="1:15" x14ac:dyDescent="0.35">
      <c r="A2" s="8">
        <v>0</v>
      </c>
      <c r="B2" s="9"/>
      <c r="C2" s="10">
        <v>0</v>
      </c>
      <c r="D2" s="11">
        <f>A2-C2</f>
        <v>0</v>
      </c>
      <c r="E2" s="12">
        <f>D2*D2</f>
        <v>0</v>
      </c>
      <c r="F2" s="12">
        <f>ABS(D2)</f>
        <v>0</v>
      </c>
      <c r="G2" s="12" t="e">
        <f>(D2/A2)*100</f>
        <v>#DIV/0!</v>
      </c>
      <c r="H2" s="12" t="e">
        <f>(F2/A2)*100</f>
        <v>#DIV/0!</v>
      </c>
      <c r="I2" s="12"/>
      <c r="J2" s="13">
        <v>0</v>
      </c>
      <c r="K2" s="11">
        <f>A2-J2</f>
        <v>0</v>
      </c>
      <c r="L2" s="12">
        <f>K2*K2</f>
        <v>0</v>
      </c>
      <c r="M2" s="12">
        <f>ABS(K2)</f>
        <v>0</v>
      </c>
      <c r="N2" s="12" t="e">
        <f>(K2/A2)*100</f>
        <v>#DIV/0!</v>
      </c>
      <c r="O2" s="12" t="e">
        <f>(M2/A2)*100</f>
        <v>#DIV/0!</v>
      </c>
    </row>
    <row r="3" spans="1:15" x14ac:dyDescent="0.35">
      <c r="A3" s="8">
        <v>0</v>
      </c>
      <c r="B3" s="9"/>
      <c r="C3" s="10">
        <v>0</v>
      </c>
      <c r="D3" s="11">
        <f>A3-C3</f>
        <v>0</v>
      </c>
      <c r="E3" s="12">
        <f>D3*D3</f>
        <v>0</v>
      </c>
      <c r="F3" s="12">
        <f>ABS(D3)</f>
        <v>0</v>
      </c>
      <c r="G3" s="12" t="e">
        <f>(D3/A3)*100</f>
        <v>#DIV/0!</v>
      </c>
      <c r="H3" s="12" t="e">
        <f>(F3/A3)*100</f>
        <v>#DIV/0!</v>
      </c>
      <c r="I3" s="12"/>
      <c r="J3" s="13">
        <v>0</v>
      </c>
      <c r="K3" s="11">
        <f>A3-J3</f>
        <v>0</v>
      </c>
      <c r="L3" s="12">
        <f>K3*K3</f>
        <v>0</v>
      </c>
      <c r="M3" s="12">
        <f>ABS(K3)</f>
        <v>0</v>
      </c>
      <c r="N3" s="12" t="e">
        <f>(K3/A3)*100</f>
        <v>#DIV/0!</v>
      </c>
      <c r="O3" s="12" t="e">
        <f>(M3/A3)*100</f>
        <v>#DIV/0!</v>
      </c>
    </row>
    <row r="4" spans="1:15" x14ac:dyDescent="0.35">
      <c r="A4" s="8">
        <v>0</v>
      </c>
      <c r="B4" s="9"/>
      <c r="C4" s="10">
        <v>0</v>
      </c>
      <c r="D4" s="11">
        <f>A4-C4</f>
        <v>0</v>
      </c>
      <c r="E4" s="12">
        <f>D4*D4</f>
        <v>0</v>
      </c>
      <c r="F4" s="12">
        <f>ABS(D4)</f>
        <v>0</v>
      </c>
      <c r="G4" s="12" t="e">
        <f>(D4/A4)*100</f>
        <v>#DIV/0!</v>
      </c>
      <c r="H4" s="12" t="e">
        <f>(F4/A4)*100</f>
        <v>#DIV/0!</v>
      </c>
      <c r="I4" s="12"/>
      <c r="J4" s="13">
        <v>0</v>
      </c>
      <c r="K4" s="11">
        <f>A4-J4</f>
        <v>0</v>
      </c>
      <c r="L4" s="12">
        <f>K4*K4</f>
        <v>0</v>
      </c>
      <c r="M4" s="12">
        <f>ABS(K4)</f>
        <v>0</v>
      </c>
      <c r="N4" s="12" t="e">
        <f>(K4/A4)*100</f>
        <v>#DIV/0!</v>
      </c>
      <c r="O4" s="12" t="e">
        <f>(M4/A4)*100</f>
        <v>#DIV/0!</v>
      </c>
    </row>
    <row r="5" spans="1:15" x14ac:dyDescent="0.35">
      <c r="A5" s="8">
        <v>0</v>
      </c>
      <c r="B5" s="9"/>
      <c r="C5" s="10">
        <v>0</v>
      </c>
      <c r="D5" s="11">
        <f>A5-C5</f>
        <v>0</v>
      </c>
      <c r="E5" s="12">
        <f>D5*D5</f>
        <v>0</v>
      </c>
      <c r="F5" s="12">
        <f>ABS(D5)</f>
        <v>0</v>
      </c>
      <c r="G5" s="12" t="e">
        <f>(D5/A5)*100</f>
        <v>#DIV/0!</v>
      </c>
      <c r="H5" s="12" t="e">
        <f>(F5/A5)*100</f>
        <v>#DIV/0!</v>
      </c>
      <c r="I5" s="12"/>
      <c r="J5" s="13">
        <v>0</v>
      </c>
      <c r="K5" s="11">
        <f>A5-J5</f>
        <v>0</v>
      </c>
      <c r="L5" s="12">
        <f>K5*K5</f>
        <v>0</v>
      </c>
      <c r="M5" s="12">
        <f>ABS(K5)</f>
        <v>0</v>
      </c>
      <c r="N5" s="12" t="e">
        <f>(K5/A5)*100</f>
        <v>#DIV/0!</v>
      </c>
      <c r="O5" s="12" t="e">
        <f>(M5/A5)*100</f>
        <v>#DIV/0!</v>
      </c>
    </row>
    <row r="6" spans="1:15" x14ac:dyDescent="0.35">
      <c r="A6" s="9"/>
      <c r="B6" s="9"/>
      <c r="C6" s="11"/>
      <c r="D6" s="14"/>
      <c r="E6" s="15"/>
      <c r="F6" s="15"/>
      <c r="G6" s="15"/>
      <c r="H6" s="15"/>
      <c r="I6" s="15"/>
      <c r="J6" s="14"/>
      <c r="K6" s="14"/>
      <c r="L6" s="15"/>
      <c r="M6" s="15"/>
      <c r="N6" s="15"/>
      <c r="O6" s="15"/>
    </row>
    <row r="7" spans="1:15" x14ac:dyDescent="0.35">
      <c r="A7" s="9"/>
      <c r="B7" s="9"/>
      <c r="C7" s="16" t="s">
        <v>19</v>
      </c>
      <c r="D7" s="17">
        <f>AVERAGE(D2:D5)</f>
        <v>0</v>
      </c>
      <c r="E7" s="17">
        <f>AVERAGE(E2:E5)</f>
        <v>0</v>
      </c>
      <c r="F7" s="17">
        <f>AVERAGE(F2:F5)</f>
        <v>0</v>
      </c>
      <c r="G7" s="17" t="e">
        <f>AVERAGE(G2:G5)</f>
        <v>#DIV/0!</v>
      </c>
      <c r="H7" s="17" t="e">
        <f>AVERAGE(H2:H5)</f>
        <v>#DIV/0!</v>
      </c>
      <c r="I7" s="17"/>
      <c r="J7" s="17"/>
      <c r="K7" s="17">
        <f>AVERAGE(K2:K5)</f>
        <v>0</v>
      </c>
      <c r="L7" s="17">
        <f>AVERAGE(L2:L5)</f>
        <v>0</v>
      </c>
      <c r="M7" s="17">
        <f>AVERAGE(M2:M5)</f>
        <v>0</v>
      </c>
      <c r="N7" s="17" t="e">
        <f>AVERAGE(N2:N5)</f>
        <v>#DIV/0!</v>
      </c>
      <c r="O7" s="17" t="e">
        <f>AVERAGE(O2:O5)</f>
        <v>#DIV/0!</v>
      </c>
    </row>
    <row r="8" spans="1:15" x14ac:dyDescent="0.35">
      <c r="A8" s="9"/>
      <c r="B8" s="9"/>
      <c r="C8" s="11"/>
      <c r="D8" s="7" t="s">
        <v>20</v>
      </c>
      <c r="E8" s="7" t="s">
        <v>21</v>
      </c>
      <c r="F8" s="7" t="s">
        <v>22</v>
      </c>
      <c r="G8" s="7" t="s">
        <v>23</v>
      </c>
      <c r="H8" s="7" t="s">
        <v>24</v>
      </c>
      <c r="I8" s="7"/>
      <c r="J8" s="11"/>
      <c r="K8" s="7" t="s">
        <v>20</v>
      </c>
      <c r="L8" s="7" t="s">
        <v>21</v>
      </c>
      <c r="M8" s="7" t="s">
        <v>22</v>
      </c>
      <c r="N8" s="7" t="s">
        <v>23</v>
      </c>
      <c r="O8" s="7" t="s">
        <v>24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6AE9-EF40-47CF-9840-0A5DCCE74A1A}">
  <sheetPr codeName="Sheet92"/>
  <dimension ref="A1:K29"/>
  <sheetViews>
    <sheetView workbookViewId="0">
      <selection activeCell="E27" sqref="E27"/>
    </sheetView>
  </sheetViews>
  <sheetFormatPr defaultRowHeight="14.5" x14ac:dyDescent="0.35"/>
  <cols>
    <col min="1" max="1" width="9.08984375" bestFit="1" customWidth="1"/>
    <col min="2" max="2" width="4.81640625" bestFit="1" customWidth="1"/>
    <col min="3" max="3" width="7.453125" bestFit="1" customWidth="1"/>
    <col min="4" max="4" width="11.81640625" bestFit="1" customWidth="1"/>
    <col min="5" max="5" width="19.54296875" bestFit="1" customWidth="1"/>
    <col min="6" max="6" width="11.81640625" bestFit="1" customWidth="1"/>
    <col min="7" max="7" width="19.26953125" bestFit="1" customWidth="1"/>
    <col min="8" max="8" width="16.7265625" bestFit="1" customWidth="1"/>
    <col min="10" max="10" width="7.453125" bestFit="1" customWidth="1"/>
    <col min="11" max="11" width="13.36328125" bestFit="1" customWidth="1"/>
  </cols>
  <sheetData>
    <row r="1" spans="1:11" x14ac:dyDescent="0.3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/>
      <c r="J1" s="1" t="s">
        <v>1</v>
      </c>
      <c r="K1" s="1" t="s">
        <v>8</v>
      </c>
    </row>
    <row r="2" spans="1:11" x14ac:dyDescent="0.35">
      <c r="A2">
        <v>1</v>
      </c>
      <c r="B2">
        <v>2014</v>
      </c>
      <c r="C2">
        <v>1</v>
      </c>
      <c r="D2">
        <f>Start!A2</f>
        <v>8</v>
      </c>
      <c r="G2">
        <f>G3-2.20833333333333</f>
        <v>6.4179487179487484</v>
      </c>
      <c r="H2">
        <f>D2/G2</f>
        <v>1.2465041949660349</v>
      </c>
      <c r="J2">
        <v>1</v>
      </c>
      <c r="K2">
        <f>AVERAGEIF($C$2:$C$17,C2,$H$2:$H$17)</f>
        <v>1.0524426419652912</v>
      </c>
    </row>
    <row r="3" spans="1:11" x14ac:dyDescent="0.35">
      <c r="A3">
        <v>2</v>
      </c>
      <c r="B3">
        <v>2014</v>
      </c>
      <c r="C3">
        <v>2</v>
      </c>
      <c r="D3">
        <f>Start!A3</f>
        <v>10</v>
      </c>
      <c r="G3">
        <f>G4-2.20833333333333</f>
        <v>8.6262820512820788</v>
      </c>
      <c r="H3">
        <f>D3/G3</f>
        <v>1.1592479750315783</v>
      </c>
      <c r="J3">
        <v>2</v>
      </c>
      <c r="K3">
        <f t="shared" ref="K3:K5" si="0">AVERAGEIF($C$2:$C$17,C3,$H$2:$H$17)</f>
        <v>1.0224294922794752</v>
      </c>
    </row>
    <row r="4" spans="1:11" x14ac:dyDescent="0.35">
      <c r="A4">
        <v>3</v>
      </c>
      <c r="B4">
        <v>2014</v>
      </c>
      <c r="C4">
        <v>3</v>
      </c>
      <c r="D4">
        <f>Start!A4</f>
        <v>7</v>
      </c>
      <c r="E4">
        <f>AVERAGE(D2:D6)</f>
        <v>11</v>
      </c>
      <c r="G4">
        <f>G5-2.20833333333333</f>
        <v>10.834615384615409</v>
      </c>
      <c r="H4">
        <f>D4/G4</f>
        <v>0.64607738729144337</v>
      </c>
      <c r="J4">
        <v>3</v>
      </c>
      <c r="K4">
        <f t="shared" si="0"/>
        <v>0.71116964929586102</v>
      </c>
    </row>
    <row r="5" spans="1:11" x14ac:dyDescent="0.35">
      <c r="A5">
        <v>4</v>
      </c>
      <c r="B5">
        <v>2014</v>
      </c>
      <c r="C5">
        <v>4</v>
      </c>
      <c r="D5">
        <f>Start!A5</f>
        <v>15</v>
      </c>
      <c r="E5">
        <f>AVERAGE(D3:D7)</f>
        <v>12.8</v>
      </c>
      <c r="F5">
        <f>E5-E4</f>
        <v>1.8000000000000007</v>
      </c>
      <c r="G5">
        <f>G6-2.20833333333333</f>
        <v>13.04294871794874</v>
      </c>
      <c r="H5">
        <f>D5/G5</f>
        <v>1.1500466899297175</v>
      </c>
      <c r="J5">
        <v>4</v>
      </c>
      <c r="K5">
        <f t="shared" si="0"/>
        <v>1.2934914914451972</v>
      </c>
    </row>
    <row r="6" spans="1:11" x14ac:dyDescent="0.35">
      <c r="A6">
        <v>5</v>
      </c>
      <c r="B6">
        <v>2015</v>
      </c>
      <c r="C6">
        <v>1</v>
      </c>
      <c r="D6">
        <f>Start!A6</f>
        <v>15</v>
      </c>
      <c r="E6">
        <f>AVERAGE(D4:D8)</f>
        <v>13.6</v>
      </c>
      <c r="F6">
        <f>E6-E5</f>
        <v>0.79999999999999893</v>
      </c>
      <c r="G6">
        <f>G7-2.20833333333333</f>
        <v>15.25128205128207</v>
      </c>
      <c r="H6">
        <f>D6/G6</f>
        <v>0.98352387357094706</v>
      </c>
    </row>
    <row r="7" spans="1:11" x14ac:dyDescent="0.35">
      <c r="A7">
        <v>6</v>
      </c>
      <c r="B7">
        <v>2015</v>
      </c>
      <c r="C7">
        <v>2</v>
      </c>
      <c r="D7">
        <f>Start!A7</f>
        <v>17</v>
      </c>
      <c r="E7">
        <f>AVERAGE(D5:D9)</f>
        <v>17.8</v>
      </c>
      <c r="F7">
        <f>E7-E6</f>
        <v>4.2000000000000011</v>
      </c>
      <c r="G7">
        <f>G8-2.20833333333333</f>
        <v>17.4596153846154</v>
      </c>
      <c r="H7">
        <f>D7/G7</f>
        <v>0.97367551492455029</v>
      </c>
    </row>
    <row r="8" spans="1:11" x14ac:dyDescent="0.35">
      <c r="A8">
        <v>7</v>
      </c>
      <c r="B8">
        <v>2015</v>
      </c>
      <c r="C8">
        <v>3</v>
      </c>
      <c r="D8">
        <f>Start!A8</f>
        <v>14</v>
      </c>
      <c r="E8">
        <f>AVERAGE(D6:D10)</f>
        <v>19.8</v>
      </c>
      <c r="F8">
        <f>E8-E7</f>
        <v>2</v>
      </c>
      <c r="G8">
        <f>G9-2.20833333333333</f>
        <v>19.667948717948729</v>
      </c>
      <c r="H8">
        <f>D8/G8</f>
        <v>0.71181800404145712</v>
      </c>
    </row>
    <row r="9" spans="1:11" x14ac:dyDescent="0.35">
      <c r="A9">
        <v>8</v>
      </c>
      <c r="B9">
        <v>2015</v>
      </c>
      <c r="C9">
        <v>4</v>
      </c>
      <c r="D9">
        <f>Start!A9</f>
        <v>28</v>
      </c>
      <c r="E9">
        <f>AVERAGE(D7:D11)</f>
        <v>22</v>
      </c>
      <c r="F9">
        <f>E9-E8</f>
        <v>2.1999999999999993</v>
      </c>
      <c r="G9">
        <f>G10-2.20833333333333</f>
        <v>21.876282051282057</v>
      </c>
      <c r="H9">
        <f>D9/G9</f>
        <v>1.2799249860814015</v>
      </c>
    </row>
    <row r="10" spans="1:11" x14ac:dyDescent="0.35">
      <c r="A10">
        <v>9</v>
      </c>
      <c r="B10">
        <v>2016</v>
      </c>
      <c r="C10">
        <v>1</v>
      </c>
      <c r="D10">
        <f>Start!A10</f>
        <v>25</v>
      </c>
      <c r="E10">
        <f>AVERAGE(D8:D12)</f>
        <v>22.8</v>
      </c>
      <c r="F10">
        <f>E10-E9</f>
        <v>0.80000000000000071</v>
      </c>
      <c r="G10">
        <v>24.084615384615386</v>
      </c>
      <c r="H10">
        <f>D10/G10</f>
        <v>1.0380070265091024</v>
      </c>
    </row>
    <row r="11" spans="1:11" x14ac:dyDescent="0.35">
      <c r="A11">
        <v>10</v>
      </c>
      <c r="B11">
        <v>2016</v>
      </c>
      <c r="C11">
        <v>2</v>
      </c>
      <c r="D11">
        <f>Start!A11</f>
        <v>26</v>
      </c>
      <c r="E11">
        <f>AVERAGE(D9:D13)</f>
        <v>28</v>
      </c>
      <c r="F11">
        <f>E11-E10</f>
        <v>5.1999999999999993</v>
      </c>
      <c r="G11">
        <f>G10+2.20833333333333</f>
        <v>26.292948717948715</v>
      </c>
      <c r="H11">
        <f>D11/G11</f>
        <v>0.98885827827486172</v>
      </c>
    </row>
    <row r="12" spans="1:11" x14ac:dyDescent="0.35">
      <c r="A12">
        <v>11</v>
      </c>
      <c r="B12">
        <v>2016</v>
      </c>
      <c r="C12">
        <v>3</v>
      </c>
      <c r="D12">
        <f>Start!A12</f>
        <v>21</v>
      </c>
      <c r="E12">
        <f>AVERAGE(D10:D14)</f>
        <v>28.6</v>
      </c>
      <c r="F12">
        <f>E12-E11</f>
        <v>0.60000000000000142</v>
      </c>
      <c r="G12">
        <f>G11+2.20833333333333</f>
        <v>28.501282051282043</v>
      </c>
      <c r="H12">
        <f>D12/G12</f>
        <v>0.73680896046061828</v>
      </c>
    </row>
    <row r="13" spans="1:11" x14ac:dyDescent="0.35">
      <c r="A13">
        <v>12</v>
      </c>
      <c r="B13">
        <v>2016</v>
      </c>
      <c r="C13">
        <v>4</v>
      </c>
      <c r="D13">
        <f>Start!A13</f>
        <v>40</v>
      </c>
      <c r="E13">
        <f>AVERAGE(D11:D15)</f>
        <v>30.4</v>
      </c>
      <c r="F13">
        <f>E13-E12</f>
        <v>1.7999999999999972</v>
      </c>
      <c r="G13">
        <f>G12+2.20833333333333</f>
        <v>30.709615384615372</v>
      </c>
      <c r="H13">
        <f>D13/G13</f>
        <v>1.3025236395516318</v>
      </c>
    </row>
    <row r="14" spans="1:11" x14ac:dyDescent="0.35">
      <c r="A14">
        <v>13</v>
      </c>
      <c r="B14">
        <v>2017</v>
      </c>
      <c r="C14">
        <v>1</v>
      </c>
      <c r="D14">
        <f>Start!A14</f>
        <v>31</v>
      </c>
      <c r="E14">
        <f>AVERAGE(D12:D16)</f>
        <v>30.8</v>
      </c>
      <c r="F14">
        <f>E14-E13</f>
        <v>0.40000000000000213</v>
      </c>
      <c r="G14">
        <f>G13+2.20833333333333</f>
        <v>32.917948717948704</v>
      </c>
      <c r="H14">
        <f>D14/G14</f>
        <v>0.94173547281508063</v>
      </c>
    </row>
    <row r="15" spans="1:11" x14ac:dyDescent="0.35">
      <c r="A15">
        <v>14</v>
      </c>
      <c r="B15">
        <v>2017</v>
      </c>
      <c r="C15">
        <v>2</v>
      </c>
      <c r="D15">
        <f>Start!A15</f>
        <v>34</v>
      </c>
      <c r="E15">
        <f>AVERAGE(D13:D17)</f>
        <v>38</v>
      </c>
      <c r="F15">
        <f>E15-E14</f>
        <v>7.1999999999999993</v>
      </c>
      <c r="G15">
        <f>G14+2.20833333333333</f>
        <v>35.126282051282033</v>
      </c>
      <c r="H15">
        <f>D15/G15</f>
        <v>0.96793620088691035</v>
      </c>
    </row>
    <row r="16" spans="1:11" x14ac:dyDescent="0.35">
      <c r="A16">
        <v>15</v>
      </c>
      <c r="B16">
        <v>2017</v>
      </c>
      <c r="C16">
        <v>3</v>
      </c>
      <c r="D16">
        <f>Start!A16</f>
        <v>28</v>
      </c>
      <c r="E16">
        <f>AVERAGE(D14:D18)</f>
        <v>37.5</v>
      </c>
      <c r="F16">
        <f>E16-E15</f>
        <v>-0.5</v>
      </c>
      <c r="G16">
        <f>G15+2.20833333333333</f>
        <v>37.334615384615361</v>
      </c>
      <c r="H16">
        <f>D16/G16</f>
        <v>0.7499742453899253</v>
      </c>
    </row>
    <row r="17" spans="1:8" x14ac:dyDescent="0.35">
      <c r="A17">
        <v>16</v>
      </c>
      <c r="B17">
        <v>2017</v>
      </c>
      <c r="C17">
        <v>4</v>
      </c>
      <c r="D17">
        <f>Start!A17</f>
        <v>57</v>
      </c>
      <c r="G17">
        <f>G16+2.20833333333333</f>
        <v>39.54294871794869</v>
      </c>
      <c r="H17">
        <f>D17/G17</f>
        <v>1.4414706502180372</v>
      </c>
    </row>
    <row r="19" spans="1:8" x14ac:dyDescent="0.35">
      <c r="A19" t="s">
        <v>9</v>
      </c>
      <c r="E19">
        <v>24.084615384615386</v>
      </c>
      <c r="F19">
        <v>2.2083333333333335</v>
      </c>
    </row>
    <row r="21" spans="1:8" x14ac:dyDescent="0.35">
      <c r="A21" t="s">
        <v>2</v>
      </c>
      <c r="B21" t="s">
        <v>0</v>
      </c>
      <c r="C21" t="s">
        <v>1</v>
      </c>
      <c r="D21" t="s">
        <v>11</v>
      </c>
      <c r="G21" t="s">
        <v>6</v>
      </c>
    </row>
    <row r="22" spans="1:8" x14ac:dyDescent="0.35">
      <c r="A22">
        <v>17</v>
      </c>
      <c r="B22">
        <v>2018</v>
      </c>
      <c r="C22">
        <v>1</v>
      </c>
      <c r="D22" s="5">
        <f>G22*VLOOKUP(C22,$J$2:$K$5,2,FALSE)</f>
        <v>43.94082958748929</v>
      </c>
      <c r="G22">
        <f>G17+2.20833333333333</f>
        <v>41.751282051282018</v>
      </c>
    </row>
    <row r="23" spans="1:8" x14ac:dyDescent="0.35">
      <c r="A23">
        <v>18</v>
      </c>
      <c r="B23">
        <v>2018</v>
      </c>
      <c r="C23">
        <v>2</v>
      </c>
      <c r="D23" s="5">
        <f>G23*VLOOKUP(C23,$J$2:$K$5,2,FALSE)</f>
        <v>44.945607238493274</v>
      </c>
      <c r="G23">
        <f>G22+2.20833333333333</f>
        <v>43.959615384615347</v>
      </c>
    </row>
    <row r="24" spans="1:8" x14ac:dyDescent="0.35">
      <c r="A24">
        <v>19</v>
      </c>
      <c r="B24">
        <v>2018</v>
      </c>
      <c r="C24">
        <v>3</v>
      </c>
      <c r="D24" s="5">
        <f>G24*VLOOKUP(C24,$J$2:$K$5,2,FALSE)</f>
        <v>32.833243898452857</v>
      </c>
      <c r="G24">
        <f>G23+2.20833333333333</f>
        <v>46.167948717948676</v>
      </c>
    </row>
    <row r="25" spans="1:8" x14ac:dyDescent="0.35">
      <c r="A25">
        <v>20</v>
      </c>
      <c r="B25">
        <v>2018</v>
      </c>
      <c r="C25">
        <v>4</v>
      </c>
      <c r="D25" s="5">
        <f>G25*VLOOKUP(C25,$J$2:$K$5,2,FALSE)</f>
        <v>62.574309221086281</v>
      </c>
      <c r="G25">
        <f>G24+2.20833333333333</f>
        <v>48.376282051282004</v>
      </c>
    </row>
    <row r="26" spans="1:8" x14ac:dyDescent="0.35">
      <c r="A26">
        <v>21</v>
      </c>
      <c r="B26">
        <v>2019</v>
      </c>
      <c r="C26">
        <v>1</v>
      </c>
      <c r="D26" s="5">
        <f>G26*VLOOKUP(C26,$J$2:$K$5,2,FALSE)</f>
        <v>53.237406258182681</v>
      </c>
      <c r="G26">
        <f>G25+2.20833333333333</f>
        <v>50.584615384615333</v>
      </c>
    </row>
    <row r="27" spans="1:8" x14ac:dyDescent="0.35">
      <c r="A27">
        <v>22</v>
      </c>
      <c r="B27">
        <v>2019</v>
      </c>
      <c r="C27">
        <v>2</v>
      </c>
      <c r="D27" s="5">
        <f>G27*VLOOKUP(C27,$J$2:$K$5,2,FALSE)</f>
        <v>53.977067753628624</v>
      </c>
      <c r="G27">
        <f>G26+2.20833333333333</f>
        <v>52.792948717948661</v>
      </c>
    </row>
    <row r="28" spans="1:8" x14ac:dyDescent="0.35">
      <c r="A28">
        <v>23</v>
      </c>
      <c r="B28">
        <v>2019</v>
      </c>
      <c r="C28">
        <v>3</v>
      </c>
      <c r="D28" s="5">
        <f>G28*VLOOKUP(C28,$J$2:$K$5,2,FALSE)</f>
        <v>39.115242467232946</v>
      </c>
      <c r="G28">
        <f>G27+2.20833333333333</f>
        <v>55.00128205128199</v>
      </c>
    </row>
    <row r="29" spans="1:8" x14ac:dyDescent="0.35">
      <c r="A29">
        <v>24</v>
      </c>
      <c r="B29">
        <v>2019</v>
      </c>
      <c r="C29">
        <v>4</v>
      </c>
      <c r="D29" s="5">
        <f>G29*VLOOKUP(C29,$J$2:$K$5,2,FALSE)</f>
        <v>74.000150728852162</v>
      </c>
      <c r="G29">
        <f>G28+2.20833333333333</f>
        <v>57.209615384615319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1C053-D2AC-4D05-A56F-9D72C1591483}">
  <sheetPr codeName="Sheet93"/>
  <dimension ref="A1"/>
  <sheetViews>
    <sheetView topLeftCell="A4"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B7887-F59D-45CC-A891-0F8D963AF7AC}">
  <sheetPr codeName="Sheet94"/>
  <dimension ref="A1"/>
  <sheetViews>
    <sheetView topLeftCell="C6" workbookViewId="0">
      <selection activeCell="J40" sqref="J40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Adjust</vt:lpstr>
      <vt:lpstr>Error</vt:lpstr>
      <vt:lpstr>Ex. Basic Forecast</vt:lpstr>
      <vt:lpstr>Ex. Time_Series</vt:lpstr>
      <vt:lpstr>Ex. Forecast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Keshav Krishnan</dc:creator>
  <cp:lastModifiedBy>Keshav Krishnan</cp:lastModifiedBy>
  <dcterms:created xsi:type="dcterms:W3CDTF">2023-12-03T18:43:46Z</dcterms:created>
  <dcterms:modified xsi:type="dcterms:W3CDTF">2023-12-04T04:55:26Z</dcterms:modified>
</cp:coreProperties>
</file>